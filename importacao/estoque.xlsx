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uiz Henrique Tezza\Desktop\manto10\importacao\"/>
    </mc:Choice>
  </mc:AlternateContent>
  <bookViews>
    <workbookView xWindow="0" yWindow="0" windowWidth="23040" windowHeight="9270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Y13" i="1" l="1"/>
  <c r="BG4" i="1" l="1"/>
  <c r="AY4" i="1" l="1"/>
</calcChain>
</file>

<file path=xl/sharedStrings.xml><?xml version="1.0" encoding="utf-8"?>
<sst xmlns="http://schemas.openxmlformats.org/spreadsheetml/2006/main" count="479" uniqueCount="143">
  <si>
    <t>ESTOQUE MANTO 10</t>
  </si>
  <si>
    <t>QUALIDADE NACIONAL PREMIUM</t>
  </si>
  <si>
    <t>TAMANHO P</t>
  </si>
  <si>
    <t>TIMES BRASILEIROS</t>
  </si>
  <si>
    <t>DESCRIÇÃO</t>
  </si>
  <si>
    <t>QUANTIDADE</t>
  </si>
  <si>
    <t>TIMES ESTRANGEIROS</t>
  </si>
  <si>
    <t>SELEÇÕES</t>
  </si>
  <si>
    <t>TAMANHO M</t>
  </si>
  <si>
    <t>TAMANHO G</t>
  </si>
  <si>
    <t>TAMANHO GG</t>
  </si>
  <si>
    <t>Atlético-MG Away 25/26</t>
  </si>
  <si>
    <t>Internacional Home 25/26</t>
  </si>
  <si>
    <t>Internacional Away 25/26</t>
  </si>
  <si>
    <t>Internazionale Home 25/26</t>
  </si>
  <si>
    <t>Manchester City Away 25/26</t>
  </si>
  <si>
    <t>Corinthians Edição Especial</t>
  </si>
  <si>
    <t>Cruzeiro Home 25/26</t>
  </si>
  <si>
    <t>Manchester United Home 25/26</t>
  </si>
  <si>
    <t>PSG Home 25/26</t>
  </si>
  <si>
    <t>Milan Home 25/26</t>
  </si>
  <si>
    <t>Internazionale Away 25/26</t>
  </si>
  <si>
    <t>Penarol Away 25/26</t>
  </si>
  <si>
    <t>Manchester City Home 25/26</t>
  </si>
  <si>
    <t>Remo Edição Especial</t>
  </si>
  <si>
    <t>Palmeiras Third 25/26</t>
  </si>
  <si>
    <t>Fluminense Away 25/26</t>
  </si>
  <si>
    <t>Inter Miami Away 25/26</t>
  </si>
  <si>
    <t>Liverpool Home 25/26</t>
  </si>
  <si>
    <t>Barcelona Home 25/26</t>
  </si>
  <si>
    <t>Napoli Home 25/26</t>
  </si>
  <si>
    <t>Argentina Away 25/26</t>
  </si>
  <si>
    <t>São Paulo Away 25/26</t>
  </si>
  <si>
    <t>Atlético-MG Home 25/26</t>
  </si>
  <si>
    <t>Bayern de Munique Home 25/26</t>
  </si>
  <si>
    <t>Chelsea Home 25/26</t>
  </si>
  <si>
    <t>Botafogo Home 25/26</t>
  </si>
  <si>
    <t>Corinthians Home 25/26</t>
  </si>
  <si>
    <t>Real Madrid Third 25/26</t>
  </si>
  <si>
    <t>Portugal Away 25/26</t>
  </si>
  <si>
    <t>Argentina Home 25/26</t>
  </si>
  <si>
    <t>Grêmio Third 24/25</t>
  </si>
  <si>
    <t>Corinthians Treino 24/25</t>
  </si>
  <si>
    <t>Real Madrid Home 25/26</t>
  </si>
  <si>
    <t>TOTAL NACIONAIS PREMIUM</t>
  </si>
  <si>
    <t>TOTAL TAILANDESAS 1.1</t>
  </si>
  <si>
    <t>Flamengo Home 25/26</t>
  </si>
  <si>
    <t>Internacional Polo 25/26</t>
  </si>
  <si>
    <t>Santos Away 25/26</t>
  </si>
  <si>
    <t>Santos Home 25/26</t>
  </si>
  <si>
    <t>Grêmio Home 25/26</t>
  </si>
  <si>
    <t>Atletico Madrid Home 25/26</t>
  </si>
  <si>
    <t>Arsenal Home 25/26</t>
  </si>
  <si>
    <t>Chelsea Away 25/26</t>
  </si>
  <si>
    <t>Celta de Vigo 100 Anos 25/26</t>
  </si>
  <si>
    <t>Real Betis Home 25/26</t>
  </si>
  <si>
    <t>Valencia Away 25/26</t>
  </si>
  <si>
    <t>Juventus Home 25/26</t>
  </si>
  <si>
    <t>Barcelona Away 25/26</t>
  </si>
  <si>
    <t>Botafogo Away 25/26</t>
  </si>
  <si>
    <t>Palmeiras Away 25/26</t>
  </si>
  <si>
    <t>Benfica Home 25/26</t>
  </si>
  <si>
    <t>Brasil Home 25/26</t>
  </si>
  <si>
    <t>Lazio Away 25/26</t>
  </si>
  <si>
    <t>Porto Home 25/26</t>
  </si>
  <si>
    <t>Lyon Home 25/26</t>
  </si>
  <si>
    <t>QUALIDADE TAILANDESA 1.1</t>
  </si>
  <si>
    <t>TABELA DE VENDAS</t>
  </si>
  <si>
    <t>CAMISA</t>
  </si>
  <si>
    <t>PREÇO</t>
  </si>
  <si>
    <t>QUALIDADE</t>
  </si>
  <si>
    <t>TAMANHO</t>
  </si>
  <si>
    <t>MODELO</t>
  </si>
  <si>
    <t>NP</t>
  </si>
  <si>
    <t>P</t>
  </si>
  <si>
    <t>T</t>
  </si>
  <si>
    <t>G</t>
  </si>
  <si>
    <t>GG</t>
  </si>
  <si>
    <t>Olimpique de Marselha Away 25/26</t>
  </si>
  <si>
    <t>M</t>
  </si>
  <si>
    <t>TOTAL VENDAS</t>
  </si>
  <si>
    <t>SORTEIO</t>
  </si>
  <si>
    <t>CLIENTE</t>
  </si>
  <si>
    <t>João Miguel</t>
  </si>
  <si>
    <t>Gabriel Henrique</t>
  </si>
  <si>
    <t>Suzana</t>
  </si>
  <si>
    <t>Maximiliano</t>
  </si>
  <si>
    <t>Luciana</t>
  </si>
  <si>
    <t>Oscar</t>
  </si>
  <si>
    <t>Eduardo Ferreira</t>
  </si>
  <si>
    <t>João</t>
  </si>
  <si>
    <t>Bruno Cinagava</t>
  </si>
  <si>
    <t>Marcelo Cinagava</t>
  </si>
  <si>
    <t>Bernardo Nicodem</t>
  </si>
  <si>
    <t>Arthur Vinícius</t>
  </si>
  <si>
    <t xml:space="preserve">GG </t>
  </si>
  <si>
    <t>Gabriel Kloster</t>
  </si>
  <si>
    <t>Gustavo Fachi</t>
  </si>
  <si>
    <t>Flamengo Home 26/27</t>
  </si>
  <si>
    <t>Flamengo Treino 26/27</t>
  </si>
  <si>
    <t>Palmeiras Home 26/27</t>
  </si>
  <si>
    <t>Argentina Home 26/27</t>
  </si>
  <si>
    <t>Vasco Home 26/27</t>
  </si>
  <si>
    <t>Brasil Third 26/27</t>
  </si>
  <si>
    <t>Itália Home 26/27</t>
  </si>
  <si>
    <t>Flamengo US 25/26</t>
  </si>
  <si>
    <t>Flamengo Third 25/26</t>
  </si>
  <si>
    <t>Corinthians Total 90</t>
  </si>
  <si>
    <t>Inglaterra Away 26/27</t>
  </si>
  <si>
    <t>Lyon home 25/26</t>
  </si>
  <si>
    <t>Chelsea Total 90 25/26</t>
  </si>
  <si>
    <t>São Paulo Third 25/26</t>
  </si>
  <si>
    <t>Portugal Home 26/27</t>
  </si>
  <si>
    <t>Palmeiras Mundial 25/26</t>
  </si>
  <si>
    <t>Arsenal Away 25/26</t>
  </si>
  <si>
    <t>Ajax Home 25/26</t>
  </si>
  <si>
    <t>Sporting Home 25/26</t>
  </si>
  <si>
    <t>Juventus Third 25/26</t>
  </si>
  <si>
    <t>Marcelo Mognol</t>
  </si>
  <si>
    <t>Kauan Hubler</t>
  </si>
  <si>
    <t>Manchester United Away 25/26</t>
  </si>
  <si>
    <t>Inglaterra Home 25/26</t>
  </si>
  <si>
    <t>Flamengo Third 26/27</t>
  </si>
  <si>
    <t>Vasco Home 25/26</t>
  </si>
  <si>
    <t>Barcelona 1999 Edição Especial</t>
  </si>
  <si>
    <t>Brasil Home 1994</t>
  </si>
  <si>
    <t>Brasil Away 1994</t>
  </si>
  <si>
    <t xml:space="preserve">Brasil Home 1984 </t>
  </si>
  <si>
    <t>Brasil Home 1977</t>
  </si>
  <si>
    <t>Rondinelli Bitt</t>
  </si>
  <si>
    <t>Joshua Ostrowski</t>
  </si>
  <si>
    <t>Carlos Fabian</t>
  </si>
  <si>
    <t>Carlos Luan</t>
  </si>
  <si>
    <t>Sporting Home 26/27</t>
  </si>
  <si>
    <t>Jean Ribeiro</t>
  </si>
  <si>
    <t>Vitor Luiz Rodrigues</t>
  </si>
  <si>
    <t>Alexis</t>
  </si>
  <si>
    <t>Felipe Fribel</t>
  </si>
  <si>
    <t>Fernando Winckelmann</t>
  </si>
  <si>
    <t>Wagner</t>
  </si>
  <si>
    <t>Liverpool Home 24/25</t>
  </si>
  <si>
    <t>João Victor Stempniak</t>
  </si>
  <si>
    <t>Manchester city Away 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</si>
</sst>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9999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93">
    <xf numFmtId="0" fontId="0" fillId="0" borderId="0" xfId="0"/>
    <xf numFmtId="0" fontId="0" fillId="0" borderId="0" xfId="0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12" borderId="10" xfId="0" applyFont="1" applyFill="1" applyBorder="1" applyAlignment="1">
      <alignment horizontal="center" vertical="center"/>
    </xf>
    <xf numFmtId="0" fontId="2" fillId="12" borderId="11" xfId="0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6" borderId="10" xfId="0" applyFont="1" applyFill="1" applyBorder="1" applyAlignment="1">
      <alignment horizontal="center" vertical="center"/>
    </xf>
    <xf numFmtId="0" fontId="0" fillId="5" borderId="11" xfId="0" applyFont="1" applyFill="1" applyBorder="1" applyAlignment="1">
      <alignment horizontal="center" vertical="center"/>
    </xf>
    <xf numFmtId="0" fontId="0" fillId="15" borderId="10" xfId="0" applyFill="1" applyBorder="1" applyAlignment="1">
      <alignment horizontal="center" vertical="center"/>
    </xf>
    <xf numFmtId="0" fontId="0" fillId="13" borderId="11" xfId="0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12" xfId="0" applyFont="1" applyFill="1" applyBorder="1" applyAlignment="1">
      <alignment horizontal="center" vertical="center"/>
    </xf>
    <xf numFmtId="0" fontId="0" fillId="5" borderId="13" xfId="0" applyFont="1" applyFill="1" applyBorder="1" applyAlignment="1">
      <alignment horizontal="center" vertical="center"/>
    </xf>
    <xf numFmtId="0" fontId="0" fillId="15" borderId="12" xfId="0" applyFill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5" borderId="0" xfId="0" applyFill="1"/>
    <xf numFmtId="0" fontId="1" fillId="20" borderId="17" xfId="0" applyFont="1" applyFill="1" applyBorder="1" applyAlignment="1">
      <alignment horizontal="center" vertical="center"/>
    </xf>
    <xf numFmtId="0" fontId="0" fillId="17" borderId="21" xfId="0" applyFont="1" applyFill="1" applyBorder="1" applyAlignment="1">
      <alignment horizontal="center" vertical="center"/>
    </xf>
    <xf numFmtId="0" fontId="0" fillId="17" borderId="22" xfId="0" applyFont="1" applyFill="1" applyBorder="1" applyAlignment="1">
      <alignment horizontal="center" vertical="center"/>
    </xf>
    <xf numFmtId="0" fontId="0" fillId="17" borderId="19" xfId="0" applyFont="1" applyFill="1" applyBorder="1" applyAlignment="1">
      <alignment horizontal="center" vertical="center"/>
    </xf>
    <xf numFmtId="0" fontId="0" fillId="17" borderId="20" xfId="0" applyFont="1" applyFill="1" applyBorder="1" applyAlignment="1">
      <alignment horizontal="center" vertical="center"/>
    </xf>
    <xf numFmtId="164" fontId="0" fillId="16" borderId="0" xfId="0" applyNumberFormat="1" applyFill="1" applyAlignment="1">
      <alignment horizontal="center" vertical="center"/>
    </xf>
    <xf numFmtId="164" fontId="0" fillId="17" borderId="23" xfId="0" applyNumberFormat="1" applyFont="1" applyFill="1" applyBorder="1" applyAlignment="1">
      <alignment horizontal="center" vertical="center"/>
    </xf>
    <xf numFmtId="164" fontId="0" fillId="17" borderId="10" xfId="0" applyNumberFormat="1" applyFont="1" applyFill="1" applyBorder="1" applyAlignment="1">
      <alignment horizontal="center" vertical="center"/>
    </xf>
    <xf numFmtId="164" fontId="0" fillId="17" borderId="12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17" borderId="0" xfId="0" applyFont="1" applyFill="1" applyAlignment="1">
      <alignment horizontal="center" vertical="center"/>
    </xf>
    <xf numFmtId="0" fontId="0" fillId="15" borderId="10" xfId="0" applyFont="1" applyFill="1" applyBorder="1" applyAlignment="1">
      <alignment horizontal="center" vertical="center"/>
    </xf>
    <xf numFmtId="0" fontId="0" fillId="13" borderId="11" xfId="0" applyFont="1" applyFill="1" applyBorder="1" applyAlignment="1">
      <alignment horizontal="center" vertical="center"/>
    </xf>
    <xf numFmtId="0" fontId="0" fillId="17" borderId="24" xfId="0" applyFill="1" applyBorder="1" applyAlignment="1">
      <alignment horizontal="center" vertical="center"/>
    </xf>
    <xf numFmtId="164" fontId="0" fillId="17" borderId="19" xfId="0" applyNumberFormat="1" applyFont="1" applyFill="1" applyBorder="1" applyAlignment="1">
      <alignment horizontal="center" vertical="center"/>
    </xf>
    <xf numFmtId="0" fontId="0" fillId="15" borderId="23" xfId="0" applyFill="1" applyBorder="1" applyAlignment="1">
      <alignment horizontal="center" vertical="center"/>
    </xf>
    <xf numFmtId="0" fontId="0" fillId="13" borderId="25" xfId="0" applyFill="1" applyBorder="1" applyAlignment="1">
      <alignment horizontal="center" vertical="center"/>
    </xf>
    <xf numFmtId="164" fontId="0" fillId="17" borderId="2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8" borderId="14" xfId="0" applyFont="1" applyFill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" fillId="14" borderId="14" xfId="0" applyFont="1" applyFill="1" applyBorder="1" applyAlignment="1">
      <alignment horizontal="center" vertical="center"/>
    </xf>
    <xf numFmtId="0" fontId="1" fillId="14" borderId="16" xfId="0" applyFont="1" applyFill="1" applyBorder="1" applyAlignment="1">
      <alignment horizontal="center" vertical="center"/>
    </xf>
    <xf numFmtId="164" fontId="1" fillId="19" borderId="18" xfId="0" applyNumberFormat="1" applyFont="1" applyFill="1" applyBorder="1" applyAlignment="1">
      <alignment horizontal="center" vertical="center"/>
    </xf>
    <xf numFmtId="164" fontId="1" fillId="19" borderId="4" xfId="0" applyNumberFormat="1" applyFont="1" applyFill="1" applyBorder="1" applyAlignment="1">
      <alignment horizontal="center" vertical="center"/>
    </xf>
    <xf numFmtId="0" fontId="1" fillId="18" borderId="14" xfId="0" applyFont="1" applyFill="1" applyBorder="1" applyAlignment="1">
      <alignment horizontal="center" vertical="center"/>
    </xf>
    <xf numFmtId="0" fontId="1" fillId="18" borderId="15" xfId="0" applyFont="1" applyFill="1" applyBorder="1" applyAlignment="1">
      <alignment horizontal="center" vertical="center"/>
    </xf>
    <xf numFmtId="44" fontId="3" fillId="0" borderId="14" xfId="1" applyFont="1" applyBorder="1" applyAlignment="1">
      <alignment horizontal="center" vertical="center"/>
    </xf>
    <xf numFmtId="44" fontId="3" fillId="0" borderId="15" xfId="1" applyFont="1" applyBorder="1" applyAlignment="1">
      <alignment horizontal="center" vertical="center"/>
    </xf>
    <xf numFmtId="44" fontId="3" fillId="0" borderId="16" xfId="1" applyFont="1" applyBorder="1" applyAlignment="1">
      <alignment horizontal="center" vertical="center"/>
    </xf>
    <xf numFmtId="0" fontId="1" fillId="19" borderId="18" xfId="0" applyFont="1" applyFill="1" applyBorder="1" applyAlignment="1">
      <alignment horizontal="center" vertical="center"/>
    </xf>
    <xf numFmtId="0" fontId="1" fillId="19" borderId="0" xfId="0" applyFont="1" applyFill="1" applyBorder="1" applyAlignment="1">
      <alignment horizontal="center" vertical="center"/>
    </xf>
    <xf numFmtId="0" fontId="1" fillId="19" borderId="4" xfId="0" applyFont="1" applyFill="1" applyBorder="1" applyAlignment="1">
      <alignment horizontal="center" vertical="center"/>
    </xf>
    <xf numFmtId="0" fontId="1" fillId="19" borderId="5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0" fontId="1" fillId="18" borderId="2" xfId="0" applyFont="1" applyFill="1" applyBorder="1" applyAlignment="1">
      <alignment horizontal="center" vertical="center"/>
    </xf>
    <xf numFmtId="0" fontId="1" fillId="18" borderId="3" xfId="0" applyFont="1" applyFill="1" applyBorder="1" applyAlignment="1">
      <alignment horizontal="center" vertical="center"/>
    </xf>
    <xf numFmtId="0" fontId="1" fillId="18" borderId="4" xfId="0" applyFont="1" applyFill="1" applyBorder="1" applyAlignment="1">
      <alignment horizontal="center" vertical="center"/>
    </xf>
    <xf numFmtId="0" fontId="1" fillId="18" borderId="5" xfId="0" applyFont="1" applyFill="1" applyBorder="1" applyAlignment="1">
      <alignment horizontal="center" vertical="center"/>
    </xf>
    <xf numFmtId="0" fontId="1" fillId="18" borderId="6" xfId="0" applyFont="1" applyFill="1" applyBorder="1" applyAlignment="1">
      <alignment horizontal="center" vertical="center"/>
    </xf>
    <xf numFmtId="164" fontId="1" fillId="19" borderId="14" xfId="0" applyNumberFormat="1" applyFont="1" applyFill="1" applyBorder="1" applyAlignment="1">
      <alignment horizontal="center" vertical="center"/>
    </xf>
    <xf numFmtId="164" fontId="1" fillId="19" borderId="15" xfId="0" applyNumberFormat="1" applyFont="1" applyFill="1" applyBorder="1" applyAlignment="1">
      <alignment horizontal="center" vertical="center"/>
    </xf>
    <xf numFmtId="164" fontId="1" fillId="19" borderId="16" xfId="0" applyNumberFormat="1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F99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89"/>
  <sheetViews>
    <sheetView tabSelected="1" topLeftCell="AD1" zoomScaleNormal="100" workbookViewId="0">
      <selection activeCell="AO21" sqref="AO21"/>
    </sheetView>
  </sheetViews>
  <sheetFormatPr defaultColWidth="8.85546875" defaultRowHeight="15" x14ac:dyDescent="0.25"/>
  <cols>
    <col min="1" max="1" width="8.85546875" style="18"/>
    <col min="2" max="2" width="23.28515625" style="1" bestFit="1" customWidth="1"/>
    <col min="3" max="3" width="12.5703125" style="1" bestFit="1" customWidth="1"/>
    <col min="4" max="4" width="29.42578125" style="1" bestFit="1" customWidth="1"/>
    <col min="5" max="5" width="12.5703125" style="1" bestFit="1" customWidth="1"/>
    <col min="6" max="6" width="21" style="1" bestFit="1" customWidth="1"/>
    <col min="7" max="7" width="12.5703125" style="1" bestFit="1" customWidth="1"/>
    <col min="8" max="8" width="24.7109375" style="1" bestFit="1" customWidth="1"/>
    <col min="9" max="9" width="12.5703125" style="1" bestFit="1" customWidth="1"/>
    <col min="10" max="10" width="28.5703125" style="1" bestFit="1" customWidth="1"/>
    <col min="11" max="11" width="12.5703125" style="1" bestFit="1" customWidth="1"/>
    <col min="12" max="12" width="21" style="1" bestFit="1" customWidth="1"/>
    <col min="13" max="13" width="12.5703125" style="1" bestFit="1" customWidth="1"/>
    <col min="14" max="14" width="23" style="1" bestFit="1" customWidth="1"/>
    <col min="15" max="15" width="12.5703125" style="1" bestFit="1" customWidth="1"/>
    <col min="16" max="16" width="28.42578125" style="1" bestFit="1" customWidth="1"/>
    <col min="17" max="17" width="12.5703125" style="1" bestFit="1" customWidth="1"/>
    <col min="18" max="18" width="21" style="1" bestFit="1" customWidth="1"/>
    <col min="19" max="19" width="12.5703125" style="1" bestFit="1" customWidth="1"/>
    <col min="20" max="20" width="23.7109375" style="1" bestFit="1" customWidth="1"/>
    <col min="21" max="21" width="12.5703125" style="1" bestFit="1" customWidth="1"/>
    <col min="22" max="22" width="26.140625" style="1" bestFit="1" customWidth="1"/>
    <col min="23" max="23" width="12.5703125" style="1" bestFit="1" customWidth="1"/>
    <col min="24" max="24" width="20" style="1" bestFit="1" customWidth="1"/>
    <col min="25" max="25" width="12.5703125" style="1" bestFit="1" customWidth="1"/>
    <col min="26" max="26" width="22.42578125" style="1" bestFit="1" customWidth="1"/>
    <col min="27" max="27" width="12.5703125" style="1" bestFit="1" customWidth="1"/>
    <col min="28" max="28" width="28.85546875" style="1" bestFit="1" customWidth="1"/>
    <col min="29" max="29" width="12.5703125" style="1" bestFit="1" customWidth="1"/>
    <col min="30" max="30" width="21" style="1" bestFit="1" customWidth="1"/>
    <col min="31" max="31" width="12.42578125" style="1" bestFit="1" customWidth="1"/>
    <col min="32" max="32" width="24.140625" style="1" bestFit="1" customWidth="1"/>
    <col min="33" max="33" width="13.140625" style="1" bestFit="1" customWidth="1"/>
    <col min="34" max="34" width="30" style="1" bestFit="1" customWidth="1"/>
    <col min="35" max="35" width="12.5703125" style="1" bestFit="1" customWidth="1"/>
    <col min="36" max="36" width="20.28515625" style="1" bestFit="1" customWidth="1"/>
    <col min="37" max="37" width="12.5703125" style="1" bestFit="1" customWidth="1"/>
    <col min="38" max="38" width="24.140625" style="1" bestFit="1" customWidth="1"/>
    <col min="39" max="39" width="12.5703125" style="1" bestFit="1" customWidth="1"/>
    <col min="40" max="40" width="33" style="1" bestFit="1" customWidth="1"/>
    <col min="41" max="41" width="12.5703125" style="1" bestFit="1" customWidth="1"/>
    <col min="42" max="42" width="20.28515625" style="1" bestFit="1" customWidth="1"/>
    <col min="43" max="43" width="12.85546875" style="1" bestFit="1" customWidth="1"/>
    <col min="44" max="44" width="24.140625" style="1" bestFit="1" customWidth="1"/>
    <col min="45" max="45" width="13.140625" style="1" bestFit="1" customWidth="1"/>
    <col min="46" max="46" width="28.85546875" style="1" bestFit="1" customWidth="1"/>
    <col min="47" max="47" width="12.5703125" style="1" bestFit="1" customWidth="1"/>
    <col min="48" max="48" width="20.28515625" style="1" bestFit="1" customWidth="1"/>
    <col min="49" max="49" width="12.5703125" style="1" bestFit="1" customWidth="1"/>
    <col min="50" max="50" width="8.85546875" style="18"/>
    <col min="51" max="51" width="27.28515625" style="1" bestFit="1" customWidth="1"/>
    <col min="52" max="52" width="8.85546875" style="18"/>
    <col min="53" max="53" width="11" style="18" bestFit="1" customWidth="1"/>
    <col min="54" max="54" width="10.140625" style="18" bestFit="1" customWidth="1"/>
    <col min="55" max="55" width="30.28515625" style="1" bestFit="1" customWidth="1"/>
    <col min="56" max="56" width="11.7109375" style="29" customWidth="1"/>
    <col min="57" max="57" width="23.85546875" style="29" bestFit="1" customWidth="1"/>
    <col min="58" max="58" width="8.85546875" style="1"/>
    <col min="59" max="59" width="81.140625" style="1" bestFit="1" customWidth="1"/>
    <col min="60" max="16384" width="8.85546875" style="1"/>
  </cols>
  <sheetData>
    <row r="1" spans="2:93" s="18" customFormat="1" ht="15.75" thickBot="1" x14ac:dyDescent="0.3">
      <c r="BD1" s="25"/>
      <c r="BE1" s="25"/>
    </row>
    <row r="2" spans="2:93" x14ac:dyDescent="0.25">
      <c r="B2" s="60" t="s">
        <v>0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2"/>
      <c r="AY2" s="66" t="s">
        <v>44</v>
      </c>
      <c r="BA2" s="84" t="s">
        <v>67</v>
      </c>
      <c r="BB2" s="85"/>
      <c r="BC2" s="85"/>
      <c r="BD2" s="85"/>
      <c r="BE2" s="86"/>
      <c r="BF2" s="18"/>
      <c r="BG2" s="75" t="s">
        <v>80</v>
      </c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</row>
    <row r="3" spans="2:93" ht="15.75" thickBot="1" x14ac:dyDescent="0.3">
      <c r="B3" s="63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5"/>
      <c r="AY3" s="67"/>
      <c r="BA3" s="87"/>
      <c r="BB3" s="88"/>
      <c r="BC3" s="88"/>
      <c r="BD3" s="88"/>
      <c r="BE3" s="89"/>
      <c r="BF3" s="18"/>
      <c r="BG3" s="76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</row>
    <row r="4" spans="2:93" x14ac:dyDescent="0.25">
      <c r="B4" s="45" t="s">
        <v>1</v>
      </c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7"/>
      <c r="Z4" s="51" t="s">
        <v>66</v>
      </c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3"/>
      <c r="AY4" s="68">
        <f>SUM(C9:C23,E9:E23,I9:I22,K9:K23,M9:M23,G9:G23,O9:O23,Q9:Q23,S9:S23,U9:U23,W9:W23,Y9:Y23,)</f>
        <v>82</v>
      </c>
      <c r="BA4" s="80" t="s">
        <v>68</v>
      </c>
      <c r="BB4" s="81"/>
      <c r="BC4" s="81"/>
      <c r="BD4" s="73" t="s">
        <v>69</v>
      </c>
      <c r="BE4" s="90" t="s">
        <v>82</v>
      </c>
      <c r="BF4" s="18"/>
      <c r="BG4" s="77">
        <f>SUM(BD7:BD65)</f>
        <v>4870</v>
      </c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</row>
    <row r="5" spans="2:93" ht="15.75" thickBot="1" x14ac:dyDescent="0.3">
      <c r="B5" s="48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50"/>
      <c r="Z5" s="54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6"/>
      <c r="AY5" s="69"/>
      <c r="BA5" s="82"/>
      <c r="BB5" s="83"/>
      <c r="BC5" s="83"/>
      <c r="BD5" s="73"/>
      <c r="BE5" s="91"/>
      <c r="BF5" s="18"/>
      <c r="BG5" s="7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</row>
    <row r="6" spans="2:93" ht="15.75" thickBot="1" x14ac:dyDescent="0.3">
      <c r="B6" s="40" t="s">
        <v>2</v>
      </c>
      <c r="C6" s="41"/>
      <c r="D6" s="41"/>
      <c r="E6" s="41"/>
      <c r="F6" s="41"/>
      <c r="G6" s="42"/>
      <c r="H6" s="40" t="s">
        <v>8</v>
      </c>
      <c r="I6" s="41"/>
      <c r="J6" s="41"/>
      <c r="K6" s="41"/>
      <c r="L6" s="41"/>
      <c r="M6" s="42"/>
      <c r="N6" s="40" t="s">
        <v>9</v>
      </c>
      <c r="O6" s="41"/>
      <c r="P6" s="41"/>
      <c r="Q6" s="41"/>
      <c r="R6" s="41"/>
      <c r="S6" s="42"/>
      <c r="T6" s="40" t="s">
        <v>10</v>
      </c>
      <c r="U6" s="41"/>
      <c r="V6" s="41"/>
      <c r="W6" s="41"/>
      <c r="X6" s="41"/>
      <c r="Y6" s="42"/>
      <c r="Z6" s="57" t="s">
        <v>2</v>
      </c>
      <c r="AA6" s="58"/>
      <c r="AB6" s="58"/>
      <c r="AC6" s="58"/>
      <c r="AD6" s="58"/>
      <c r="AE6" s="59"/>
      <c r="AF6" s="57" t="s">
        <v>8</v>
      </c>
      <c r="AG6" s="58"/>
      <c r="AH6" s="58"/>
      <c r="AI6" s="58"/>
      <c r="AJ6" s="58"/>
      <c r="AK6" s="59"/>
      <c r="AL6" s="57" t="s">
        <v>9</v>
      </c>
      <c r="AM6" s="58"/>
      <c r="AN6" s="58"/>
      <c r="AO6" s="58"/>
      <c r="AP6" s="58"/>
      <c r="AQ6" s="59"/>
      <c r="AR6" s="57" t="s">
        <v>10</v>
      </c>
      <c r="AS6" s="58"/>
      <c r="AT6" s="58"/>
      <c r="AU6" s="58"/>
      <c r="AV6" s="58"/>
      <c r="AW6" s="59"/>
      <c r="AY6" s="69"/>
      <c r="BA6" s="20" t="s">
        <v>70</v>
      </c>
      <c r="BB6" s="20" t="s">
        <v>71</v>
      </c>
      <c r="BC6" s="20" t="s">
        <v>72</v>
      </c>
      <c r="BD6" s="74"/>
      <c r="BE6" s="92"/>
      <c r="BF6" s="18"/>
      <c r="BG6" s="7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</row>
    <row r="7" spans="2:93" x14ac:dyDescent="0.25">
      <c r="B7" s="38" t="s">
        <v>3</v>
      </c>
      <c r="C7" s="39"/>
      <c r="D7" s="38" t="s">
        <v>6</v>
      </c>
      <c r="E7" s="39"/>
      <c r="F7" s="38" t="s">
        <v>7</v>
      </c>
      <c r="G7" s="39"/>
      <c r="H7" s="38" t="s">
        <v>3</v>
      </c>
      <c r="I7" s="39"/>
      <c r="J7" s="38" t="s">
        <v>6</v>
      </c>
      <c r="K7" s="39"/>
      <c r="L7" s="38" t="s">
        <v>7</v>
      </c>
      <c r="M7" s="39"/>
      <c r="N7" s="38" t="s">
        <v>3</v>
      </c>
      <c r="O7" s="39"/>
      <c r="P7" s="38" t="s">
        <v>6</v>
      </c>
      <c r="Q7" s="39"/>
      <c r="R7" s="38" t="s">
        <v>7</v>
      </c>
      <c r="S7" s="39"/>
      <c r="T7" s="38" t="s">
        <v>3</v>
      </c>
      <c r="U7" s="39"/>
      <c r="V7" s="38" t="s">
        <v>6</v>
      </c>
      <c r="W7" s="39"/>
      <c r="X7" s="38" t="s">
        <v>7</v>
      </c>
      <c r="Y7" s="39"/>
      <c r="Z7" s="43" t="s">
        <v>3</v>
      </c>
      <c r="AA7" s="44"/>
      <c r="AB7" s="43" t="s">
        <v>6</v>
      </c>
      <c r="AC7" s="44"/>
      <c r="AD7" s="43" t="s">
        <v>7</v>
      </c>
      <c r="AE7" s="44"/>
      <c r="AF7" s="43" t="s">
        <v>3</v>
      </c>
      <c r="AG7" s="44"/>
      <c r="AH7" s="43" t="s">
        <v>6</v>
      </c>
      <c r="AI7" s="44"/>
      <c r="AJ7" s="43" t="s">
        <v>7</v>
      </c>
      <c r="AK7" s="44"/>
      <c r="AL7" s="43" t="s">
        <v>3</v>
      </c>
      <c r="AM7" s="44"/>
      <c r="AN7" s="43" t="s">
        <v>6</v>
      </c>
      <c r="AO7" s="44"/>
      <c r="AP7" s="43" t="s">
        <v>7</v>
      </c>
      <c r="AQ7" s="44"/>
      <c r="AR7" s="43" t="s">
        <v>3</v>
      </c>
      <c r="AS7" s="44"/>
      <c r="AT7" s="43" t="s">
        <v>6</v>
      </c>
      <c r="AU7" s="44"/>
      <c r="AV7" s="43" t="s">
        <v>7</v>
      </c>
      <c r="AW7" s="44"/>
      <c r="AY7" s="69"/>
      <c r="BA7" s="21" t="s">
        <v>73</v>
      </c>
      <c r="BB7" s="21" t="s">
        <v>74</v>
      </c>
      <c r="BC7" s="22" t="s">
        <v>22</v>
      </c>
      <c r="BD7" s="26">
        <v>60</v>
      </c>
      <c r="BE7" s="37" t="s">
        <v>83</v>
      </c>
      <c r="BF7" s="18"/>
      <c r="BG7" s="7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</row>
    <row r="8" spans="2:93" x14ac:dyDescent="0.25">
      <c r="B8" s="2" t="s">
        <v>4</v>
      </c>
      <c r="C8" s="3" t="s">
        <v>5</v>
      </c>
      <c r="D8" s="2" t="s">
        <v>4</v>
      </c>
      <c r="E8" s="3" t="s">
        <v>5</v>
      </c>
      <c r="F8" s="2" t="s">
        <v>4</v>
      </c>
      <c r="G8" s="3" t="s">
        <v>5</v>
      </c>
      <c r="H8" s="2" t="s">
        <v>4</v>
      </c>
      <c r="I8" s="3" t="s">
        <v>5</v>
      </c>
      <c r="J8" s="2" t="s">
        <v>4</v>
      </c>
      <c r="K8" s="3" t="s">
        <v>5</v>
      </c>
      <c r="L8" s="2" t="s">
        <v>4</v>
      </c>
      <c r="M8" s="3" t="s">
        <v>5</v>
      </c>
      <c r="N8" s="2" t="s">
        <v>4</v>
      </c>
      <c r="O8" s="3" t="s">
        <v>5</v>
      </c>
      <c r="P8" s="2" t="s">
        <v>4</v>
      </c>
      <c r="Q8" s="3" t="s">
        <v>5</v>
      </c>
      <c r="R8" s="2" t="s">
        <v>4</v>
      </c>
      <c r="S8" s="3" t="s">
        <v>5</v>
      </c>
      <c r="T8" s="2" t="s">
        <v>4</v>
      </c>
      <c r="U8" s="3" t="s">
        <v>5</v>
      </c>
      <c r="V8" s="2" t="s">
        <v>4</v>
      </c>
      <c r="W8" s="3" t="s">
        <v>5</v>
      </c>
      <c r="X8" s="2" t="s">
        <v>4</v>
      </c>
      <c r="Y8" s="3" t="s">
        <v>5</v>
      </c>
      <c r="Z8" s="4" t="s">
        <v>4</v>
      </c>
      <c r="AA8" s="5" t="s">
        <v>5</v>
      </c>
      <c r="AB8" s="4" t="s">
        <v>4</v>
      </c>
      <c r="AC8" s="5" t="s">
        <v>5</v>
      </c>
      <c r="AD8" s="4" t="s">
        <v>4</v>
      </c>
      <c r="AE8" s="5" t="s">
        <v>5</v>
      </c>
      <c r="AF8" s="4" t="s">
        <v>4</v>
      </c>
      <c r="AG8" s="5" t="s">
        <v>5</v>
      </c>
      <c r="AH8" s="4" t="s">
        <v>4</v>
      </c>
      <c r="AI8" s="5" t="s">
        <v>5</v>
      </c>
      <c r="AJ8" s="4" t="s">
        <v>4</v>
      </c>
      <c r="AK8" s="5" t="s">
        <v>5</v>
      </c>
      <c r="AL8" s="4" t="s">
        <v>4</v>
      </c>
      <c r="AM8" s="5" t="s">
        <v>5</v>
      </c>
      <c r="AN8" s="4" t="s">
        <v>4</v>
      </c>
      <c r="AO8" s="5" t="s">
        <v>5</v>
      </c>
      <c r="AP8" s="4" t="s">
        <v>4</v>
      </c>
      <c r="AQ8" s="5" t="s">
        <v>5</v>
      </c>
      <c r="AR8" s="4" t="s">
        <v>4</v>
      </c>
      <c r="AS8" s="5" t="s">
        <v>5</v>
      </c>
      <c r="AT8" s="4" t="s">
        <v>4</v>
      </c>
      <c r="AU8" s="5" t="s">
        <v>5</v>
      </c>
      <c r="AV8" s="4" t="s">
        <v>4</v>
      </c>
      <c r="AW8" s="5" t="s">
        <v>5</v>
      </c>
      <c r="AY8" s="69"/>
      <c r="BA8" s="23" t="s">
        <v>75</v>
      </c>
      <c r="BB8" s="23" t="s">
        <v>74</v>
      </c>
      <c r="BC8" s="24" t="s">
        <v>40</v>
      </c>
      <c r="BD8" s="27">
        <v>150</v>
      </c>
      <c r="BE8" s="34" t="s">
        <v>83</v>
      </c>
      <c r="BF8" s="18"/>
      <c r="BG8" s="7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</row>
    <row r="9" spans="2:93" ht="15.75" thickBot="1" x14ac:dyDescent="0.3">
      <c r="B9" s="6" t="s">
        <v>11</v>
      </c>
      <c r="C9" s="7">
        <v>1</v>
      </c>
      <c r="D9" s="6" t="s">
        <v>14</v>
      </c>
      <c r="E9" s="7">
        <v>2</v>
      </c>
      <c r="F9" s="6" t="s">
        <v>101</v>
      </c>
      <c r="G9" s="7">
        <v>1</v>
      </c>
      <c r="H9" s="6" t="s">
        <v>17</v>
      </c>
      <c r="I9" s="7">
        <v>1</v>
      </c>
      <c r="J9" s="6" t="s">
        <v>18</v>
      </c>
      <c r="K9" s="7">
        <v>1</v>
      </c>
      <c r="L9" s="6" t="s">
        <v>101</v>
      </c>
      <c r="M9" s="7">
        <v>1</v>
      </c>
      <c r="N9" s="6" t="s">
        <v>13</v>
      </c>
      <c r="O9" s="7">
        <v>0</v>
      </c>
      <c r="P9" s="8" t="s">
        <v>14</v>
      </c>
      <c r="Q9" s="9">
        <v>1</v>
      </c>
      <c r="R9" s="6" t="s">
        <v>101</v>
      </c>
      <c r="S9" s="7">
        <v>1</v>
      </c>
      <c r="T9" s="6" t="s">
        <v>17</v>
      </c>
      <c r="U9" s="7">
        <v>1</v>
      </c>
      <c r="V9" s="6" t="s">
        <v>23</v>
      </c>
      <c r="W9" s="7">
        <v>2</v>
      </c>
      <c r="X9" s="6" t="s">
        <v>31</v>
      </c>
      <c r="Y9" s="7">
        <v>0</v>
      </c>
      <c r="Z9" s="10" t="s">
        <v>32</v>
      </c>
      <c r="AA9" s="11">
        <v>1</v>
      </c>
      <c r="AB9" s="10" t="s">
        <v>34</v>
      </c>
      <c r="AC9" s="11">
        <v>1</v>
      </c>
      <c r="AD9" s="10" t="s">
        <v>40</v>
      </c>
      <c r="AE9" s="11">
        <v>0</v>
      </c>
      <c r="AF9" s="10" t="s">
        <v>32</v>
      </c>
      <c r="AG9" s="11">
        <v>1</v>
      </c>
      <c r="AH9" s="10" t="s">
        <v>38</v>
      </c>
      <c r="AI9" s="11">
        <v>2</v>
      </c>
      <c r="AJ9" s="10" t="s">
        <v>39</v>
      </c>
      <c r="AK9" s="11">
        <v>1</v>
      </c>
      <c r="AL9" s="31" t="s">
        <v>32</v>
      </c>
      <c r="AM9" s="32">
        <v>0</v>
      </c>
      <c r="AN9" s="10" t="s">
        <v>34</v>
      </c>
      <c r="AO9" s="11">
        <v>1</v>
      </c>
      <c r="AP9" s="10" t="s">
        <v>39</v>
      </c>
      <c r="AQ9" s="11">
        <v>0</v>
      </c>
      <c r="AR9" s="10" t="s">
        <v>32</v>
      </c>
      <c r="AS9" s="11">
        <v>1</v>
      </c>
      <c r="AT9" s="10" t="s">
        <v>34</v>
      </c>
      <c r="AU9" s="11">
        <v>1</v>
      </c>
      <c r="AV9" s="10" t="s">
        <v>39</v>
      </c>
      <c r="AW9" s="11">
        <v>1</v>
      </c>
      <c r="AY9" s="70"/>
      <c r="BA9" s="23" t="s">
        <v>73</v>
      </c>
      <c r="BB9" s="23" t="s">
        <v>76</v>
      </c>
      <c r="BC9" s="24" t="s">
        <v>14</v>
      </c>
      <c r="BD9" s="27">
        <v>60</v>
      </c>
      <c r="BE9" s="34" t="s">
        <v>84</v>
      </c>
      <c r="BF9" s="18"/>
      <c r="BG9" s="79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</row>
    <row r="10" spans="2:93" ht="15.75" thickBot="1" x14ac:dyDescent="0.3">
      <c r="B10" s="6" t="s">
        <v>12</v>
      </c>
      <c r="C10" s="7">
        <v>1</v>
      </c>
      <c r="D10" s="6" t="s">
        <v>15</v>
      </c>
      <c r="E10" s="7">
        <v>1</v>
      </c>
      <c r="F10" s="6"/>
      <c r="G10" s="7"/>
      <c r="H10" s="6" t="s">
        <v>12</v>
      </c>
      <c r="I10" s="7">
        <v>1</v>
      </c>
      <c r="J10" s="6" t="s">
        <v>19</v>
      </c>
      <c r="K10" s="7">
        <v>1</v>
      </c>
      <c r="L10" s="6" t="s">
        <v>103</v>
      </c>
      <c r="M10" s="7">
        <v>1</v>
      </c>
      <c r="N10" s="6" t="s">
        <v>100</v>
      </c>
      <c r="O10" s="7">
        <v>2</v>
      </c>
      <c r="P10" s="8" t="s">
        <v>21</v>
      </c>
      <c r="Q10" s="9">
        <v>0</v>
      </c>
      <c r="R10" s="6" t="s">
        <v>103</v>
      </c>
      <c r="S10" s="7">
        <v>0</v>
      </c>
      <c r="T10" s="6" t="s">
        <v>24</v>
      </c>
      <c r="U10" s="7">
        <v>1</v>
      </c>
      <c r="V10" s="6" t="s">
        <v>27</v>
      </c>
      <c r="W10" s="7">
        <v>1</v>
      </c>
      <c r="X10" s="6" t="s">
        <v>104</v>
      </c>
      <c r="Y10" s="7">
        <v>2</v>
      </c>
      <c r="Z10" s="10" t="s">
        <v>33</v>
      </c>
      <c r="AA10" s="11">
        <v>1</v>
      </c>
      <c r="AB10" s="10" t="s">
        <v>35</v>
      </c>
      <c r="AC10" s="11">
        <v>2</v>
      </c>
      <c r="AD10" s="10" t="s">
        <v>121</v>
      </c>
      <c r="AE10" s="11">
        <v>1</v>
      </c>
      <c r="AF10" s="10" t="s">
        <v>36</v>
      </c>
      <c r="AG10" s="11">
        <v>1</v>
      </c>
      <c r="AH10" s="10" t="s">
        <v>35</v>
      </c>
      <c r="AI10" s="11">
        <v>1</v>
      </c>
      <c r="AJ10" s="10" t="s">
        <v>40</v>
      </c>
      <c r="AK10" s="11">
        <v>1</v>
      </c>
      <c r="AL10" s="10" t="s">
        <v>41</v>
      </c>
      <c r="AM10" s="11">
        <v>1</v>
      </c>
      <c r="AN10" s="10" t="s">
        <v>78</v>
      </c>
      <c r="AO10" s="11">
        <v>1</v>
      </c>
      <c r="AP10" s="10" t="s">
        <v>40</v>
      </c>
      <c r="AQ10" s="11">
        <v>0</v>
      </c>
      <c r="AR10" s="10" t="s">
        <v>37</v>
      </c>
      <c r="AS10" s="11">
        <v>3</v>
      </c>
      <c r="AT10" s="10" t="s">
        <v>35</v>
      </c>
      <c r="AU10" s="11">
        <v>1</v>
      </c>
      <c r="AV10" s="10" t="s">
        <v>40</v>
      </c>
      <c r="AW10" s="11">
        <v>1</v>
      </c>
      <c r="AY10" s="18"/>
      <c r="BA10" s="23" t="s">
        <v>73</v>
      </c>
      <c r="BB10" s="23" t="s">
        <v>76</v>
      </c>
      <c r="BC10" s="24" t="s">
        <v>21</v>
      </c>
      <c r="BD10" s="27">
        <v>50</v>
      </c>
      <c r="BE10" s="34" t="s">
        <v>85</v>
      </c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</row>
    <row r="11" spans="2:93" x14ac:dyDescent="0.25">
      <c r="B11" s="6" t="s">
        <v>13</v>
      </c>
      <c r="C11" s="7">
        <v>1</v>
      </c>
      <c r="D11" s="6" t="s">
        <v>22</v>
      </c>
      <c r="E11" s="7">
        <v>0</v>
      </c>
      <c r="F11" s="6"/>
      <c r="G11" s="7"/>
      <c r="H11" s="6" t="s">
        <v>13</v>
      </c>
      <c r="I11" s="7">
        <v>1</v>
      </c>
      <c r="J11" s="6" t="s">
        <v>20</v>
      </c>
      <c r="K11" s="7">
        <v>1</v>
      </c>
      <c r="L11" s="6" t="s">
        <v>125</v>
      </c>
      <c r="M11" s="7">
        <v>1</v>
      </c>
      <c r="N11" s="6" t="s">
        <v>99</v>
      </c>
      <c r="O11" s="7">
        <v>2</v>
      </c>
      <c r="P11" s="8" t="s">
        <v>22</v>
      </c>
      <c r="Q11" s="9">
        <v>1</v>
      </c>
      <c r="R11" s="6" t="s">
        <v>104</v>
      </c>
      <c r="S11" s="7">
        <v>1</v>
      </c>
      <c r="T11" s="6" t="s">
        <v>25</v>
      </c>
      <c r="U11" s="7">
        <v>1</v>
      </c>
      <c r="V11" s="6" t="s">
        <v>15</v>
      </c>
      <c r="W11" s="7">
        <v>0</v>
      </c>
      <c r="X11" s="6" t="s">
        <v>101</v>
      </c>
      <c r="Y11" s="7">
        <v>2</v>
      </c>
      <c r="Z11" s="10" t="s">
        <v>46</v>
      </c>
      <c r="AA11" s="11">
        <v>3</v>
      </c>
      <c r="AB11" s="10" t="s">
        <v>29</v>
      </c>
      <c r="AC11" s="11">
        <v>1</v>
      </c>
      <c r="AD11" s="10"/>
      <c r="AE11" s="11"/>
      <c r="AF11" s="10" t="s">
        <v>37</v>
      </c>
      <c r="AG11" s="11">
        <v>2</v>
      </c>
      <c r="AH11" s="10" t="s">
        <v>140</v>
      </c>
      <c r="AI11" s="11">
        <v>2</v>
      </c>
      <c r="AJ11" s="10" t="s">
        <v>108</v>
      </c>
      <c r="AK11" s="11">
        <v>2</v>
      </c>
      <c r="AL11" s="10" t="s">
        <v>37</v>
      </c>
      <c r="AM11" s="11">
        <v>1</v>
      </c>
      <c r="AN11" s="10" t="s">
        <v>29</v>
      </c>
      <c r="AO11" s="11">
        <v>1</v>
      </c>
      <c r="AP11" s="10" t="s">
        <v>62</v>
      </c>
      <c r="AQ11" s="11">
        <v>0</v>
      </c>
      <c r="AR11" s="10" t="s">
        <v>46</v>
      </c>
      <c r="AS11" s="11">
        <v>3</v>
      </c>
      <c r="AT11" s="10" t="s">
        <v>29</v>
      </c>
      <c r="AU11" s="11">
        <v>1</v>
      </c>
      <c r="AV11" s="10" t="s">
        <v>62</v>
      </c>
      <c r="AW11" s="11">
        <v>2</v>
      </c>
      <c r="AY11" s="71" t="s">
        <v>45</v>
      </c>
      <c r="BA11" s="23" t="s">
        <v>73</v>
      </c>
      <c r="BB11" s="23" t="s">
        <v>76</v>
      </c>
      <c r="BC11" s="24" t="s">
        <v>23</v>
      </c>
      <c r="BD11" s="27">
        <v>60</v>
      </c>
      <c r="BE11" s="34" t="s">
        <v>86</v>
      </c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</row>
    <row r="12" spans="2:93" ht="15.75" thickBot="1" x14ac:dyDescent="0.3">
      <c r="B12" s="6" t="s">
        <v>100</v>
      </c>
      <c r="C12" s="7">
        <v>1</v>
      </c>
      <c r="D12" s="6" t="s">
        <v>18</v>
      </c>
      <c r="E12" s="7">
        <v>1</v>
      </c>
      <c r="F12" s="6"/>
      <c r="G12" s="7"/>
      <c r="H12" s="6" t="s">
        <v>16</v>
      </c>
      <c r="I12" s="7">
        <v>0</v>
      </c>
      <c r="J12" s="6" t="s">
        <v>14</v>
      </c>
      <c r="K12" s="7">
        <v>1</v>
      </c>
      <c r="L12" s="6" t="s">
        <v>126</v>
      </c>
      <c r="M12" s="7">
        <v>0</v>
      </c>
      <c r="N12" s="6" t="s">
        <v>102</v>
      </c>
      <c r="O12" s="7">
        <v>1</v>
      </c>
      <c r="P12" s="8" t="s">
        <v>23</v>
      </c>
      <c r="Q12" s="9">
        <v>0</v>
      </c>
      <c r="R12" s="6" t="s">
        <v>128</v>
      </c>
      <c r="S12" s="7">
        <v>1</v>
      </c>
      <c r="T12" s="6" t="s">
        <v>26</v>
      </c>
      <c r="U12" s="7">
        <v>1</v>
      </c>
      <c r="V12" s="6" t="s">
        <v>28</v>
      </c>
      <c r="W12" s="7">
        <v>0</v>
      </c>
      <c r="X12" s="6"/>
      <c r="Y12" s="7"/>
      <c r="Z12" s="19" t="s">
        <v>47</v>
      </c>
      <c r="AA12" s="11">
        <v>0</v>
      </c>
      <c r="AB12" s="10" t="s">
        <v>51</v>
      </c>
      <c r="AC12" s="11">
        <v>1</v>
      </c>
      <c r="AD12" s="10"/>
      <c r="AE12" s="11"/>
      <c r="AF12" s="10" t="s">
        <v>46</v>
      </c>
      <c r="AG12" s="11">
        <v>2</v>
      </c>
      <c r="AH12" s="10" t="s">
        <v>30</v>
      </c>
      <c r="AI12" s="11">
        <v>1</v>
      </c>
      <c r="AJ12" s="10" t="s">
        <v>112</v>
      </c>
      <c r="AK12" s="11">
        <v>2</v>
      </c>
      <c r="AL12" s="10" t="s">
        <v>42</v>
      </c>
      <c r="AM12" s="11">
        <v>2</v>
      </c>
      <c r="AN12" s="10" t="s">
        <v>43</v>
      </c>
      <c r="AO12" s="11">
        <v>2</v>
      </c>
      <c r="AP12" s="10"/>
      <c r="AQ12" s="11"/>
      <c r="AR12" s="10" t="s">
        <v>50</v>
      </c>
      <c r="AS12" s="11">
        <v>1</v>
      </c>
      <c r="AT12" s="10" t="s">
        <v>43</v>
      </c>
      <c r="AU12" s="11">
        <v>1</v>
      </c>
      <c r="AV12" s="10"/>
      <c r="AW12" s="11"/>
      <c r="AY12" s="72"/>
      <c r="BA12" s="23" t="s">
        <v>75</v>
      </c>
      <c r="BB12" s="23" t="s">
        <v>77</v>
      </c>
      <c r="BC12" s="24" t="s">
        <v>13</v>
      </c>
      <c r="BD12" s="27">
        <v>150</v>
      </c>
      <c r="BE12" s="34" t="s">
        <v>87</v>
      </c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</row>
    <row r="13" spans="2:93" x14ac:dyDescent="0.25">
      <c r="B13" s="6" t="s">
        <v>122</v>
      </c>
      <c r="C13" s="7">
        <v>2</v>
      </c>
      <c r="D13" s="6" t="s">
        <v>124</v>
      </c>
      <c r="E13" s="7">
        <v>1</v>
      </c>
      <c r="F13" s="6"/>
      <c r="G13" s="7"/>
      <c r="H13" s="6" t="s">
        <v>98</v>
      </c>
      <c r="I13" s="7">
        <v>3</v>
      </c>
      <c r="J13" s="6" t="s">
        <v>124</v>
      </c>
      <c r="K13" s="7">
        <v>2</v>
      </c>
      <c r="L13" s="6" t="s">
        <v>127</v>
      </c>
      <c r="M13" s="7">
        <v>1</v>
      </c>
      <c r="N13" s="6" t="s">
        <v>107</v>
      </c>
      <c r="O13" s="7">
        <v>2</v>
      </c>
      <c r="P13" s="6" t="s">
        <v>124</v>
      </c>
      <c r="Q13" s="9">
        <v>3</v>
      </c>
      <c r="R13" s="6"/>
      <c r="S13" s="7"/>
      <c r="T13" s="6" t="s">
        <v>102</v>
      </c>
      <c r="U13" s="7">
        <v>2</v>
      </c>
      <c r="V13" s="6" t="s">
        <v>29</v>
      </c>
      <c r="W13" s="7">
        <v>0</v>
      </c>
      <c r="X13" s="6"/>
      <c r="Y13" s="7"/>
      <c r="Z13" s="10" t="s">
        <v>48</v>
      </c>
      <c r="AA13" s="11">
        <v>1</v>
      </c>
      <c r="AB13" s="10" t="s">
        <v>52</v>
      </c>
      <c r="AC13" s="11">
        <v>1</v>
      </c>
      <c r="AD13" s="10"/>
      <c r="AE13" s="11"/>
      <c r="AF13" s="10" t="s">
        <v>42</v>
      </c>
      <c r="AG13" s="11">
        <v>1</v>
      </c>
      <c r="AH13" s="10" t="s">
        <v>52</v>
      </c>
      <c r="AI13" s="11">
        <v>1</v>
      </c>
      <c r="AJ13" s="10"/>
      <c r="AK13" s="11"/>
      <c r="AL13" s="10" t="s">
        <v>46</v>
      </c>
      <c r="AM13" s="11">
        <v>1</v>
      </c>
      <c r="AN13" s="10" t="s">
        <v>61</v>
      </c>
      <c r="AO13" s="11">
        <v>2</v>
      </c>
      <c r="AP13" s="10"/>
      <c r="AQ13" s="11"/>
      <c r="AR13" s="10" t="s">
        <v>60</v>
      </c>
      <c r="AS13" s="11">
        <v>1</v>
      </c>
      <c r="AT13" s="10" t="s">
        <v>38</v>
      </c>
      <c r="AU13" s="11">
        <v>1</v>
      </c>
      <c r="AV13" s="10"/>
      <c r="AW13" s="11"/>
      <c r="AY13" s="68">
        <f>SUM(AA9:AA23,AC9:AC23,AE9:AE23,AG9:AG23,AI9:AI23,AK9:AK23,AM9:AM23,AO9:AO28,AQ9:AQ22,AS9:AS23,AU9:AU23,AW9:AW23,)</f>
        <v>114</v>
      </c>
      <c r="BA13" s="23" t="s">
        <v>75</v>
      </c>
      <c r="BB13" s="23" t="s">
        <v>76</v>
      </c>
      <c r="BC13" s="24" t="s">
        <v>78</v>
      </c>
      <c r="BD13" s="27">
        <v>125</v>
      </c>
      <c r="BE13" s="34" t="s">
        <v>88</v>
      </c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</row>
    <row r="14" spans="2:93" x14ac:dyDescent="0.25">
      <c r="B14" s="6" t="s">
        <v>123</v>
      </c>
      <c r="C14" s="7">
        <v>1</v>
      </c>
      <c r="D14" s="6"/>
      <c r="E14" s="7"/>
      <c r="F14" s="6"/>
      <c r="G14" s="7"/>
      <c r="H14" s="6" t="s">
        <v>99</v>
      </c>
      <c r="I14" s="7">
        <v>2</v>
      </c>
      <c r="J14" s="6"/>
      <c r="K14" s="7"/>
      <c r="L14" s="6"/>
      <c r="M14" s="7"/>
      <c r="N14" s="6" t="s">
        <v>122</v>
      </c>
      <c r="O14" s="7">
        <v>3</v>
      </c>
      <c r="P14" s="8"/>
      <c r="Q14" s="9"/>
      <c r="R14" s="6"/>
      <c r="S14" s="7"/>
      <c r="T14" s="6" t="s">
        <v>99</v>
      </c>
      <c r="U14" s="7">
        <v>3</v>
      </c>
      <c r="V14" s="6" t="s">
        <v>30</v>
      </c>
      <c r="W14" s="7">
        <v>0</v>
      </c>
      <c r="X14" s="6"/>
      <c r="Y14" s="7"/>
      <c r="Z14" s="10" t="s">
        <v>49</v>
      </c>
      <c r="AA14" s="11">
        <v>1</v>
      </c>
      <c r="AB14" s="10" t="s">
        <v>53</v>
      </c>
      <c r="AC14" s="11">
        <v>1</v>
      </c>
      <c r="AD14" s="10"/>
      <c r="AE14" s="11"/>
      <c r="AF14" s="10" t="s">
        <v>49</v>
      </c>
      <c r="AG14" s="11">
        <v>0</v>
      </c>
      <c r="AH14" s="10" t="s">
        <v>34</v>
      </c>
      <c r="AI14" s="11">
        <v>1</v>
      </c>
      <c r="AJ14" s="10"/>
      <c r="AK14" s="11"/>
      <c r="AL14" s="10" t="s">
        <v>60</v>
      </c>
      <c r="AM14" s="11">
        <v>0</v>
      </c>
      <c r="AN14" s="10" t="s">
        <v>35</v>
      </c>
      <c r="AO14" s="11">
        <v>3</v>
      </c>
      <c r="AP14" s="10"/>
      <c r="AQ14" s="11"/>
      <c r="AR14" s="10" t="s">
        <v>12</v>
      </c>
      <c r="AS14" s="11">
        <v>0</v>
      </c>
      <c r="AT14" s="10" t="s">
        <v>65</v>
      </c>
      <c r="AU14" s="11">
        <v>1</v>
      </c>
      <c r="AV14" s="10"/>
      <c r="AW14" s="11"/>
      <c r="AY14" s="69"/>
      <c r="BA14" s="23" t="s">
        <v>75</v>
      </c>
      <c r="BB14" s="23" t="s">
        <v>76</v>
      </c>
      <c r="BC14" s="24" t="s">
        <v>43</v>
      </c>
      <c r="BD14" s="27">
        <v>125</v>
      </c>
      <c r="BE14" s="34" t="s">
        <v>132</v>
      </c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</row>
    <row r="15" spans="2:93" x14ac:dyDescent="0.25">
      <c r="B15" s="6"/>
      <c r="C15" s="7"/>
      <c r="D15" s="6"/>
      <c r="E15" s="7"/>
      <c r="F15" s="6"/>
      <c r="G15" s="7"/>
      <c r="H15" s="6" t="s">
        <v>100</v>
      </c>
      <c r="I15" s="7">
        <v>2</v>
      </c>
      <c r="J15" s="6"/>
      <c r="K15" s="7"/>
      <c r="L15" s="6"/>
      <c r="M15" s="7"/>
      <c r="N15" s="6"/>
      <c r="O15" s="7"/>
      <c r="P15" s="8"/>
      <c r="Q15" s="9"/>
      <c r="R15" s="6"/>
      <c r="S15" s="7"/>
      <c r="T15" s="6" t="s">
        <v>122</v>
      </c>
      <c r="U15" s="7">
        <v>2</v>
      </c>
      <c r="V15" s="6" t="s">
        <v>14</v>
      </c>
      <c r="W15" s="7">
        <v>1</v>
      </c>
      <c r="X15" s="6"/>
      <c r="Y15" s="7"/>
      <c r="Z15" s="10" t="s">
        <v>50</v>
      </c>
      <c r="AA15" s="11">
        <v>1</v>
      </c>
      <c r="AB15" s="10" t="s">
        <v>18</v>
      </c>
      <c r="AC15" s="11">
        <v>1</v>
      </c>
      <c r="AD15" s="10"/>
      <c r="AE15" s="11"/>
      <c r="AF15" s="10" t="s">
        <v>50</v>
      </c>
      <c r="AG15" s="11">
        <v>0</v>
      </c>
      <c r="AH15" s="10" t="s">
        <v>57</v>
      </c>
      <c r="AI15" s="11">
        <v>1</v>
      </c>
      <c r="AJ15" s="10"/>
      <c r="AK15" s="11"/>
      <c r="AL15" s="10" t="s">
        <v>12</v>
      </c>
      <c r="AM15" s="11">
        <v>0</v>
      </c>
      <c r="AN15" s="10" t="s">
        <v>52</v>
      </c>
      <c r="AO15" s="11">
        <v>0</v>
      </c>
      <c r="AP15" s="10"/>
      <c r="AQ15" s="11"/>
      <c r="AR15" s="10" t="s">
        <v>49</v>
      </c>
      <c r="AS15" s="11">
        <v>1</v>
      </c>
      <c r="AT15" s="10"/>
      <c r="AU15" s="11"/>
      <c r="AV15" s="10"/>
      <c r="AW15" s="11"/>
      <c r="AY15" s="69"/>
      <c r="BA15" s="23" t="s">
        <v>75</v>
      </c>
      <c r="BB15" s="23" t="s">
        <v>76</v>
      </c>
      <c r="BC15" s="24" t="s">
        <v>52</v>
      </c>
      <c r="BD15" s="27">
        <v>125</v>
      </c>
      <c r="BE15" s="34" t="s">
        <v>89</v>
      </c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</row>
    <row r="16" spans="2:93" x14ac:dyDescent="0.25">
      <c r="B16" s="6"/>
      <c r="C16" s="7"/>
      <c r="D16" s="6"/>
      <c r="E16" s="7"/>
      <c r="F16" s="6"/>
      <c r="G16" s="7"/>
      <c r="H16" s="6" t="s">
        <v>102</v>
      </c>
      <c r="I16" s="7">
        <v>1</v>
      </c>
      <c r="J16" s="6"/>
      <c r="K16" s="7"/>
      <c r="L16" s="6"/>
      <c r="M16" s="7"/>
      <c r="N16" s="6"/>
      <c r="O16" s="7"/>
      <c r="P16" s="8"/>
      <c r="Q16" s="9"/>
      <c r="R16" s="6"/>
      <c r="S16" s="7"/>
      <c r="T16" s="6" t="s">
        <v>107</v>
      </c>
      <c r="U16" s="7">
        <v>3</v>
      </c>
      <c r="V16" s="6" t="s">
        <v>52</v>
      </c>
      <c r="W16" s="7">
        <v>2</v>
      </c>
      <c r="X16" s="6"/>
      <c r="Y16" s="7"/>
      <c r="Z16" s="10" t="s">
        <v>105</v>
      </c>
      <c r="AA16" s="11">
        <v>1</v>
      </c>
      <c r="AB16" s="10" t="s">
        <v>30</v>
      </c>
      <c r="AC16" s="11">
        <v>1</v>
      </c>
      <c r="AD16" s="10"/>
      <c r="AE16" s="11"/>
      <c r="AF16" s="10" t="s">
        <v>17</v>
      </c>
      <c r="AG16" s="11">
        <v>0</v>
      </c>
      <c r="AH16" s="10" t="s">
        <v>58</v>
      </c>
      <c r="AI16" s="11">
        <v>0</v>
      </c>
      <c r="AJ16" s="10"/>
      <c r="AK16" s="11"/>
      <c r="AL16" s="10" t="s">
        <v>111</v>
      </c>
      <c r="AM16" s="11">
        <v>2</v>
      </c>
      <c r="AN16" s="10" t="s">
        <v>63</v>
      </c>
      <c r="AO16" s="11">
        <v>0</v>
      </c>
      <c r="AP16" s="10"/>
      <c r="AQ16" s="11"/>
      <c r="AR16" s="10" t="s">
        <v>48</v>
      </c>
      <c r="AS16" s="11">
        <v>1</v>
      </c>
      <c r="AT16" s="10"/>
      <c r="AU16" s="11"/>
      <c r="AV16" s="10"/>
      <c r="AW16" s="11"/>
      <c r="AY16" s="69"/>
      <c r="BA16" s="23" t="s">
        <v>75</v>
      </c>
      <c r="BB16" s="23" t="s">
        <v>76</v>
      </c>
      <c r="BC16" s="24" t="s">
        <v>63</v>
      </c>
      <c r="BD16" s="27">
        <v>125</v>
      </c>
      <c r="BE16" s="34" t="s">
        <v>89</v>
      </c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</row>
    <row r="17" spans="2:93" x14ac:dyDescent="0.25">
      <c r="B17" s="6"/>
      <c r="C17" s="7"/>
      <c r="D17" s="6"/>
      <c r="E17" s="7"/>
      <c r="F17" s="6"/>
      <c r="G17" s="7"/>
      <c r="H17" s="6" t="s">
        <v>122</v>
      </c>
      <c r="I17" s="7">
        <v>2</v>
      </c>
      <c r="J17" s="6"/>
      <c r="K17" s="7"/>
      <c r="L17" s="6"/>
      <c r="M17" s="7"/>
      <c r="N17" s="6"/>
      <c r="O17" s="7"/>
      <c r="P17" s="8"/>
      <c r="Q17" s="9"/>
      <c r="R17" s="6"/>
      <c r="S17" s="7"/>
      <c r="T17" s="6" t="s">
        <v>100</v>
      </c>
      <c r="U17" s="7">
        <v>2</v>
      </c>
      <c r="V17" s="6"/>
      <c r="W17" s="7"/>
      <c r="X17" s="6"/>
      <c r="Y17" s="7"/>
      <c r="Z17" s="10"/>
      <c r="AA17" s="11"/>
      <c r="AB17" s="10" t="s">
        <v>54</v>
      </c>
      <c r="AC17" s="11">
        <v>1</v>
      </c>
      <c r="AD17" s="10"/>
      <c r="AE17" s="11"/>
      <c r="AF17" s="10" t="s">
        <v>59</v>
      </c>
      <c r="AG17" s="11">
        <v>1</v>
      </c>
      <c r="AH17" s="10" t="s">
        <v>109</v>
      </c>
      <c r="AI17" s="11">
        <v>1</v>
      </c>
      <c r="AJ17" s="10"/>
      <c r="AK17" s="11"/>
      <c r="AL17" s="10" t="s">
        <v>17</v>
      </c>
      <c r="AM17" s="11">
        <v>1</v>
      </c>
      <c r="AN17" s="10" t="s">
        <v>64</v>
      </c>
      <c r="AO17" s="11">
        <v>2</v>
      </c>
      <c r="AP17" s="10"/>
      <c r="AQ17" s="11"/>
      <c r="AR17" s="10" t="s">
        <v>13</v>
      </c>
      <c r="AS17" s="11">
        <v>0</v>
      </c>
      <c r="AT17" s="10"/>
      <c r="AU17" s="11"/>
      <c r="AV17" s="10"/>
      <c r="AW17" s="11"/>
      <c r="AY17" s="69"/>
      <c r="BA17" s="23" t="s">
        <v>75</v>
      </c>
      <c r="BB17" s="30" t="s">
        <v>76</v>
      </c>
      <c r="BC17" s="23" t="s">
        <v>60</v>
      </c>
      <c r="BD17" s="27">
        <v>150</v>
      </c>
      <c r="BE17" s="34" t="s">
        <v>89</v>
      </c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</row>
    <row r="18" spans="2:93" ht="15.75" thickBot="1" x14ac:dyDescent="0.3">
      <c r="B18" s="6"/>
      <c r="C18" s="7"/>
      <c r="D18" s="6"/>
      <c r="E18" s="7"/>
      <c r="F18" s="6"/>
      <c r="G18" s="7"/>
      <c r="H18" s="6"/>
      <c r="I18" s="7"/>
      <c r="J18" s="6"/>
      <c r="K18" s="7"/>
      <c r="L18" s="6"/>
      <c r="M18" s="7"/>
      <c r="N18" s="6"/>
      <c r="O18" s="7"/>
      <c r="P18" s="8"/>
      <c r="Q18" s="9"/>
      <c r="R18" s="6"/>
      <c r="S18" s="7"/>
      <c r="T18" s="6" t="s">
        <v>13</v>
      </c>
      <c r="U18" s="7">
        <v>2</v>
      </c>
      <c r="V18" s="6"/>
      <c r="W18" s="7"/>
      <c r="X18" s="6"/>
      <c r="Y18" s="7"/>
      <c r="Z18" s="10"/>
      <c r="AA18" s="11"/>
      <c r="AB18" s="10" t="s">
        <v>55</v>
      </c>
      <c r="AC18" s="11">
        <v>1</v>
      </c>
      <c r="AD18" s="10"/>
      <c r="AE18" s="11"/>
      <c r="AF18" s="10" t="s">
        <v>12</v>
      </c>
      <c r="AG18" s="11">
        <v>1</v>
      </c>
      <c r="AH18" s="10" t="s">
        <v>110</v>
      </c>
      <c r="AI18" s="11">
        <v>0</v>
      </c>
      <c r="AJ18" s="10"/>
      <c r="AK18" s="11"/>
      <c r="AL18" s="10" t="s">
        <v>113</v>
      </c>
      <c r="AM18" s="11">
        <v>1</v>
      </c>
      <c r="AN18" s="31" t="s">
        <v>54</v>
      </c>
      <c r="AO18" s="32">
        <v>1</v>
      </c>
      <c r="AP18" s="10"/>
      <c r="AQ18" s="11"/>
      <c r="AR18" s="10" t="s">
        <v>106</v>
      </c>
      <c r="AS18" s="11">
        <v>1</v>
      </c>
      <c r="AT18" s="10"/>
      <c r="AU18" s="11"/>
      <c r="AV18" s="10"/>
      <c r="AW18" s="11"/>
      <c r="AY18" s="70"/>
      <c r="BA18" s="23" t="s">
        <v>75</v>
      </c>
      <c r="BB18" s="23" t="s">
        <v>79</v>
      </c>
      <c r="BC18" s="24" t="s">
        <v>49</v>
      </c>
      <c r="BD18" s="27">
        <v>150</v>
      </c>
      <c r="BE18" s="34" t="s">
        <v>85</v>
      </c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</row>
    <row r="19" spans="2:93" x14ac:dyDescent="0.25">
      <c r="B19" s="6"/>
      <c r="C19" s="7"/>
      <c r="D19" s="6"/>
      <c r="E19" s="7"/>
      <c r="F19" s="6"/>
      <c r="G19" s="7"/>
      <c r="H19" s="6"/>
      <c r="I19" s="7"/>
      <c r="J19" s="6"/>
      <c r="K19" s="7"/>
      <c r="L19" s="6"/>
      <c r="M19" s="7"/>
      <c r="N19" s="6"/>
      <c r="O19" s="7"/>
      <c r="P19" s="8"/>
      <c r="Q19" s="9"/>
      <c r="R19" s="6"/>
      <c r="S19" s="7"/>
      <c r="T19" s="6"/>
      <c r="U19" s="7"/>
      <c r="V19" s="6"/>
      <c r="W19" s="7"/>
      <c r="X19" s="6"/>
      <c r="Y19" s="7"/>
      <c r="Z19" s="10"/>
      <c r="AA19" s="11"/>
      <c r="AB19" s="10" t="s">
        <v>56</v>
      </c>
      <c r="AC19" s="11">
        <v>1</v>
      </c>
      <c r="AD19" s="10"/>
      <c r="AE19" s="11"/>
      <c r="AF19" s="10" t="s">
        <v>105</v>
      </c>
      <c r="AG19" s="11">
        <v>2</v>
      </c>
      <c r="AH19" s="10" t="s">
        <v>64</v>
      </c>
      <c r="AI19" s="11">
        <v>1</v>
      </c>
      <c r="AJ19" s="10"/>
      <c r="AK19" s="11"/>
      <c r="AL19" s="10" t="s">
        <v>106</v>
      </c>
      <c r="AM19" s="11">
        <v>0</v>
      </c>
      <c r="AN19" s="10" t="s">
        <v>114</v>
      </c>
      <c r="AO19" s="11">
        <v>1</v>
      </c>
      <c r="AP19" s="10"/>
      <c r="AQ19" s="11"/>
      <c r="AR19" s="10"/>
      <c r="AS19" s="11"/>
      <c r="AT19" s="10"/>
      <c r="AU19" s="11"/>
      <c r="AV19" s="10"/>
      <c r="AW19" s="11"/>
      <c r="AY19" s="18"/>
      <c r="BA19" s="23" t="s">
        <v>75</v>
      </c>
      <c r="BB19" s="23" t="s">
        <v>79</v>
      </c>
      <c r="BC19" s="24" t="s">
        <v>17</v>
      </c>
      <c r="BD19" s="27">
        <v>150</v>
      </c>
      <c r="BE19" s="34" t="s">
        <v>90</v>
      </c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</row>
    <row r="20" spans="2:93" x14ac:dyDescent="0.25">
      <c r="B20" s="6"/>
      <c r="C20" s="7"/>
      <c r="D20" s="6"/>
      <c r="E20" s="7"/>
      <c r="F20" s="6"/>
      <c r="G20" s="7"/>
      <c r="H20" s="6"/>
      <c r="I20" s="7"/>
      <c r="J20" s="6"/>
      <c r="K20" s="7"/>
      <c r="L20" s="6"/>
      <c r="M20" s="7"/>
      <c r="N20" s="6"/>
      <c r="O20" s="7"/>
      <c r="P20" s="8"/>
      <c r="Q20" s="9"/>
      <c r="R20" s="6"/>
      <c r="S20" s="7"/>
      <c r="T20" s="6"/>
      <c r="U20" s="7"/>
      <c r="V20" s="6"/>
      <c r="W20" s="7"/>
      <c r="X20" s="6"/>
      <c r="Y20" s="7"/>
      <c r="Z20" s="10"/>
      <c r="AA20" s="11"/>
      <c r="AB20" s="10" t="s">
        <v>120</v>
      </c>
      <c r="AC20" s="11">
        <v>1</v>
      </c>
      <c r="AD20" s="10"/>
      <c r="AE20" s="11"/>
      <c r="AF20" s="10" t="s">
        <v>106</v>
      </c>
      <c r="AG20" s="11">
        <v>1</v>
      </c>
      <c r="AH20" s="10" t="s">
        <v>14</v>
      </c>
      <c r="AI20" s="11">
        <v>1</v>
      </c>
      <c r="AJ20" s="10"/>
      <c r="AK20" s="11"/>
      <c r="AL20" s="10"/>
      <c r="AM20" s="11"/>
      <c r="AN20" s="10" t="s">
        <v>38</v>
      </c>
      <c r="AO20" s="11">
        <v>2</v>
      </c>
      <c r="AP20" s="10"/>
      <c r="AQ20" s="11"/>
      <c r="AR20" s="10"/>
      <c r="AS20" s="11"/>
      <c r="AT20" s="10"/>
      <c r="AU20" s="11"/>
      <c r="AV20" s="10"/>
      <c r="AW20" s="11"/>
      <c r="AY20" s="18"/>
      <c r="BA20" s="23" t="s">
        <v>75</v>
      </c>
      <c r="BB20" s="23" t="s">
        <v>76</v>
      </c>
      <c r="BC20" s="24" t="s">
        <v>64</v>
      </c>
      <c r="BD20" s="27">
        <v>116</v>
      </c>
      <c r="BE20" s="34" t="s">
        <v>91</v>
      </c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</row>
    <row r="21" spans="2:93" x14ac:dyDescent="0.25">
      <c r="B21" s="6"/>
      <c r="C21" s="7"/>
      <c r="D21" s="6"/>
      <c r="E21" s="7"/>
      <c r="F21" s="6"/>
      <c r="G21" s="7"/>
      <c r="H21" s="6"/>
      <c r="I21" s="7"/>
      <c r="J21" s="6"/>
      <c r="K21" s="7"/>
      <c r="L21" s="6"/>
      <c r="M21" s="7"/>
      <c r="N21" s="6"/>
      <c r="O21" s="7"/>
      <c r="P21" s="8"/>
      <c r="Q21" s="9"/>
      <c r="R21" s="6"/>
      <c r="S21" s="7"/>
      <c r="T21" s="6"/>
      <c r="U21" s="7"/>
      <c r="V21" s="6"/>
      <c r="W21" s="7"/>
      <c r="X21" s="6"/>
      <c r="Y21" s="7"/>
      <c r="Z21" s="10"/>
      <c r="AA21" s="11"/>
      <c r="AB21" s="10" t="s">
        <v>114</v>
      </c>
      <c r="AC21" s="11">
        <v>1</v>
      </c>
      <c r="AD21" s="10"/>
      <c r="AE21" s="11"/>
      <c r="AF21" s="10" t="s">
        <v>107</v>
      </c>
      <c r="AG21" s="11">
        <v>2</v>
      </c>
      <c r="AH21" s="10" t="s">
        <v>120</v>
      </c>
      <c r="AI21" s="11">
        <v>1</v>
      </c>
      <c r="AJ21" s="10"/>
      <c r="AK21" s="11"/>
      <c r="AL21" s="10"/>
      <c r="AM21" s="11"/>
      <c r="AN21" s="10" t="s">
        <v>115</v>
      </c>
      <c r="AO21" s="11">
        <v>0</v>
      </c>
      <c r="AP21" s="10"/>
      <c r="AQ21" s="11"/>
      <c r="AR21" s="10"/>
      <c r="AS21" s="11"/>
      <c r="AT21" s="10"/>
      <c r="AU21" s="11"/>
      <c r="AV21" s="10"/>
      <c r="AW21" s="11"/>
      <c r="AY21" s="18"/>
      <c r="BA21" s="23" t="s">
        <v>75</v>
      </c>
      <c r="BB21" s="23" t="s">
        <v>76</v>
      </c>
      <c r="BC21" s="24" t="s">
        <v>61</v>
      </c>
      <c r="BD21" s="27">
        <v>116</v>
      </c>
      <c r="BE21" s="34" t="s">
        <v>91</v>
      </c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</row>
    <row r="22" spans="2:93" ht="15.75" thickBot="1" x14ac:dyDescent="0.3">
      <c r="B22" s="6"/>
      <c r="C22" s="7"/>
      <c r="D22" s="6"/>
      <c r="E22" s="7"/>
      <c r="F22" s="6"/>
      <c r="G22" s="7"/>
      <c r="H22" s="14"/>
      <c r="I22" s="13"/>
      <c r="J22" s="6"/>
      <c r="K22" s="7"/>
      <c r="L22" s="6"/>
      <c r="M22" s="7"/>
      <c r="N22" s="6"/>
      <c r="O22" s="7"/>
      <c r="P22" s="8"/>
      <c r="Q22" s="9"/>
      <c r="R22" s="6"/>
      <c r="S22" s="7"/>
      <c r="T22" s="6"/>
      <c r="U22" s="7"/>
      <c r="V22" s="6"/>
      <c r="W22" s="7"/>
      <c r="X22" s="6"/>
      <c r="Y22" s="7"/>
      <c r="Z22" s="10"/>
      <c r="AA22" s="11"/>
      <c r="AB22" s="10" t="s">
        <v>38</v>
      </c>
      <c r="AC22" s="11">
        <v>1</v>
      </c>
      <c r="AD22" s="10"/>
      <c r="AE22" s="11"/>
      <c r="AF22" s="10" t="s">
        <v>111</v>
      </c>
      <c r="AG22" s="11">
        <v>2</v>
      </c>
      <c r="AH22" s="10" t="s">
        <v>114</v>
      </c>
      <c r="AI22" s="11">
        <v>1</v>
      </c>
      <c r="AJ22" s="10"/>
      <c r="AK22" s="11"/>
      <c r="AL22" s="10"/>
      <c r="AM22" s="11"/>
      <c r="AN22" s="10" t="s">
        <v>18</v>
      </c>
      <c r="AO22" s="11">
        <v>1</v>
      </c>
      <c r="AP22" s="10"/>
      <c r="AQ22" s="11"/>
      <c r="AR22" s="10"/>
      <c r="AS22" s="11"/>
      <c r="AT22" s="10"/>
      <c r="AU22" s="11"/>
      <c r="AV22" s="10"/>
      <c r="AW22" s="11"/>
      <c r="AY22" s="18"/>
      <c r="BA22" s="23" t="s">
        <v>75</v>
      </c>
      <c r="BB22" s="23" t="s">
        <v>79</v>
      </c>
      <c r="BC22" s="24" t="s">
        <v>28</v>
      </c>
      <c r="BD22" s="27">
        <v>116</v>
      </c>
      <c r="BE22" s="34" t="s">
        <v>93</v>
      </c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</row>
    <row r="23" spans="2:93" ht="15.75" thickBot="1" x14ac:dyDescent="0.3">
      <c r="B23" s="14"/>
      <c r="C23" s="13"/>
      <c r="D23" s="14"/>
      <c r="E23" s="13"/>
      <c r="F23" s="14"/>
      <c r="G23" s="13"/>
      <c r="H23" s="14"/>
      <c r="I23" s="13"/>
      <c r="J23" s="14"/>
      <c r="K23" s="13"/>
      <c r="L23" s="14"/>
      <c r="M23" s="13"/>
      <c r="N23" s="14"/>
      <c r="O23" s="13"/>
      <c r="P23" s="15"/>
      <c r="Q23" s="16"/>
      <c r="R23" s="14"/>
      <c r="S23" s="13"/>
      <c r="T23" s="14"/>
      <c r="U23" s="13"/>
      <c r="V23" s="14"/>
      <c r="W23" s="13"/>
      <c r="X23" s="14"/>
      <c r="Y23" s="13"/>
      <c r="Z23" s="17"/>
      <c r="AA23" s="12"/>
      <c r="AB23" s="17"/>
      <c r="AC23" s="12"/>
      <c r="AD23" s="17"/>
      <c r="AE23" s="12"/>
      <c r="AF23" s="17"/>
      <c r="AG23" s="12"/>
      <c r="AH23" s="17" t="s">
        <v>54</v>
      </c>
      <c r="AI23" s="12">
        <v>0</v>
      </c>
      <c r="AJ23" s="17"/>
      <c r="AK23" s="12"/>
      <c r="AL23" s="17"/>
      <c r="AM23" s="12"/>
      <c r="AN23" s="10" t="s">
        <v>20</v>
      </c>
      <c r="AO23" s="11">
        <v>1</v>
      </c>
      <c r="AP23" s="17"/>
      <c r="AQ23" s="12"/>
      <c r="AR23" s="17"/>
      <c r="AS23" s="12"/>
      <c r="AT23" s="17"/>
      <c r="AU23" s="12"/>
      <c r="AV23" s="17"/>
      <c r="AW23" s="12"/>
      <c r="AY23" s="18"/>
      <c r="BA23" s="23" t="s">
        <v>75</v>
      </c>
      <c r="BB23" s="23" t="s">
        <v>79</v>
      </c>
      <c r="BC23" s="24" t="s">
        <v>58</v>
      </c>
      <c r="BD23" s="27">
        <v>116</v>
      </c>
      <c r="BE23" s="34" t="s">
        <v>92</v>
      </c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</row>
    <row r="24" spans="2:93" s="18" customFormat="1" x14ac:dyDescent="0.25">
      <c r="AN24" s="35" t="s">
        <v>116</v>
      </c>
      <c r="AO24" s="36">
        <v>0</v>
      </c>
      <c r="BA24" s="23" t="s">
        <v>75</v>
      </c>
      <c r="BB24" s="23" t="s">
        <v>79</v>
      </c>
      <c r="BC24" s="24" t="s">
        <v>46</v>
      </c>
      <c r="BD24" s="27">
        <v>116</v>
      </c>
      <c r="BE24" s="34" t="s">
        <v>93</v>
      </c>
    </row>
    <row r="25" spans="2:93" x14ac:dyDescent="0.25"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0" t="s">
        <v>53</v>
      </c>
      <c r="AO25" s="11">
        <v>2</v>
      </c>
      <c r="AP25" s="18"/>
      <c r="AQ25" s="18"/>
      <c r="AR25" s="18"/>
      <c r="AS25" s="18"/>
      <c r="AT25" s="18"/>
      <c r="AU25" s="18"/>
      <c r="AV25" s="18"/>
      <c r="AW25" s="18"/>
      <c r="AY25" s="18"/>
      <c r="BA25" s="23" t="s">
        <v>73</v>
      </c>
      <c r="BB25" s="23" t="s">
        <v>77</v>
      </c>
      <c r="BC25" s="24" t="s">
        <v>29</v>
      </c>
      <c r="BD25" s="27">
        <v>0</v>
      </c>
      <c r="BE25" s="34" t="s">
        <v>86</v>
      </c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</row>
    <row r="26" spans="2:93" x14ac:dyDescent="0.25"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0" t="s">
        <v>117</v>
      </c>
      <c r="AO26" s="11">
        <v>1</v>
      </c>
      <c r="AP26" s="18"/>
      <c r="AQ26" s="18"/>
      <c r="AR26" s="18"/>
      <c r="AS26" s="18"/>
      <c r="AT26" s="18"/>
      <c r="AU26" s="18"/>
      <c r="AV26" s="18"/>
      <c r="AW26" s="18"/>
      <c r="AY26" s="18"/>
      <c r="BA26" s="23" t="s">
        <v>73</v>
      </c>
      <c r="BB26" s="23" t="s">
        <v>95</v>
      </c>
      <c r="BC26" s="24" t="s">
        <v>30</v>
      </c>
      <c r="BD26" s="27">
        <v>0</v>
      </c>
      <c r="BE26" s="34" t="s">
        <v>86</v>
      </c>
      <c r="BF26" s="33" t="s">
        <v>81</v>
      </c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</row>
    <row r="27" spans="2:93" x14ac:dyDescent="0.25"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0" t="s">
        <v>55</v>
      </c>
      <c r="AO27" s="11">
        <v>1</v>
      </c>
      <c r="AP27" s="18"/>
      <c r="AQ27" s="18"/>
      <c r="AR27" s="18"/>
      <c r="AS27" s="18"/>
      <c r="AT27" s="18"/>
      <c r="AU27" s="18"/>
      <c r="AV27" s="18"/>
      <c r="AW27" s="18"/>
      <c r="AY27" s="18"/>
      <c r="BA27" s="23" t="s">
        <v>73</v>
      </c>
      <c r="BB27" s="23" t="s">
        <v>77</v>
      </c>
      <c r="BC27" s="24" t="s">
        <v>28</v>
      </c>
      <c r="BD27" s="27">
        <v>0</v>
      </c>
      <c r="BE27" s="34" t="s">
        <v>97</v>
      </c>
      <c r="BF27" s="33" t="s">
        <v>81</v>
      </c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</row>
    <row r="28" spans="2:93" x14ac:dyDescent="0.25"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35" t="s">
        <v>110</v>
      </c>
      <c r="AO28" s="36">
        <v>0</v>
      </c>
      <c r="AP28" s="18"/>
      <c r="AQ28" s="18"/>
      <c r="AR28" s="18"/>
      <c r="AS28" s="18"/>
      <c r="AT28" s="18"/>
      <c r="AU28" s="18"/>
      <c r="AV28" s="18"/>
      <c r="AW28" s="18"/>
      <c r="AY28" s="18"/>
      <c r="BA28" s="23" t="s">
        <v>75</v>
      </c>
      <c r="BB28" s="23" t="s">
        <v>76</v>
      </c>
      <c r="BC28" s="24" t="s">
        <v>46</v>
      </c>
      <c r="BD28" s="27">
        <v>0</v>
      </c>
      <c r="BE28" s="34" t="s">
        <v>94</v>
      </c>
      <c r="BF28" s="33" t="s">
        <v>81</v>
      </c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</row>
    <row r="29" spans="2:93" x14ac:dyDescent="0.25"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0"/>
      <c r="AO29" s="11"/>
      <c r="AP29" s="18"/>
      <c r="AQ29" s="18"/>
      <c r="AR29" s="18"/>
      <c r="AS29" s="18"/>
      <c r="AT29" s="18"/>
      <c r="AU29" s="18"/>
      <c r="AV29" s="18"/>
      <c r="AW29" s="18"/>
      <c r="AY29" s="18"/>
      <c r="BA29" s="23" t="s">
        <v>75</v>
      </c>
      <c r="BB29" s="23" t="s">
        <v>76</v>
      </c>
      <c r="BC29" s="24" t="s">
        <v>35</v>
      </c>
      <c r="BD29" s="27">
        <v>0</v>
      </c>
      <c r="BE29" s="34" t="s">
        <v>94</v>
      </c>
      <c r="BF29" s="33" t="s">
        <v>81</v>
      </c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</row>
    <row r="30" spans="2:93" x14ac:dyDescent="0.25"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0"/>
      <c r="AO30" s="11"/>
      <c r="AP30" s="18"/>
      <c r="AQ30" s="18"/>
      <c r="AR30" s="18"/>
      <c r="AS30" s="18"/>
      <c r="AT30" s="18"/>
      <c r="AU30" s="18"/>
      <c r="AV30" s="18"/>
      <c r="AW30" s="18"/>
      <c r="AY30" s="18"/>
      <c r="BA30" s="23" t="s">
        <v>75</v>
      </c>
      <c r="BB30" s="23" t="s">
        <v>76</v>
      </c>
      <c r="BC30" s="24" t="s">
        <v>12</v>
      </c>
      <c r="BD30" s="27">
        <v>120</v>
      </c>
      <c r="BE30" s="34" t="s">
        <v>96</v>
      </c>
      <c r="BF30" s="33" t="s">
        <v>81</v>
      </c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</row>
    <row r="31" spans="2:93" x14ac:dyDescent="0.25"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0"/>
      <c r="AO31" s="11"/>
      <c r="AP31" s="18"/>
      <c r="AQ31" s="18"/>
      <c r="AR31" s="18"/>
      <c r="AS31" s="18"/>
      <c r="AT31" s="18"/>
      <c r="AU31" s="18"/>
      <c r="AV31" s="18"/>
      <c r="AW31" s="18"/>
      <c r="AY31" s="18"/>
      <c r="BA31" s="23" t="s">
        <v>75</v>
      </c>
      <c r="BB31" s="23" t="s">
        <v>76</v>
      </c>
      <c r="BC31" s="24" t="s">
        <v>40</v>
      </c>
      <c r="BD31" s="27">
        <v>150</v>
      </c>
      <c r="BE31" s="34" t="s">
        <v>97</v>
      </c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</row>
    <row r="32" spans="2:93" x14ac:dyDescent="0.25"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Y32" s="18"/>
      <c r="BA32" s="23" t="s">
        <v>75</v>
      </c>
      <c r="BB32" s="23" t="s">
        <v>76</v>
      </c>
      <c r="BC32" s="24" t="s">
        <v>39</v>
      </c>
      <c r="BD32" s="27">
        <v>115</v>
      </c>
      <c r="BE32" s="34" t="s">
        <v>118</v>
      </c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</row>
    <row r="33" spans="2:93" x14ac:dyDescent="0.25"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Y33" s="18"/>
      <c r="BA33" s="23" t="s">
        <v>75</v>
      </c>
      <c r="BB33" s="23" t="s">
        <v>76</v>
      </c>
      <c r="BC33" s="24" t="s">
        <v>62</v>
      </c>
      <c r="BD33" s="27">
        <v>115</v>
      </c>
      <c r="BE33" s="34" t="s">
        <v>118</v>
      </c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</row>
    <row r="34" spans="2:93" x14ac:dyDescent="0.25"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Y34" s="18"/>
      <c r="BA34" s="23" t="s">
        <v>75</v>
      </c>
      <c r="BB34" s="23" t="s">
        <v>76</v>
      </c>
      <c r="BC34" s="24" t="s">
        <v>110</v>
      </c>
      <c r="BD34" s="27">
        <v>120</v>
      </c>
      <c r="BE34" s="34" t="s">
        <v>118</v>
      </c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</row>
    <row r="35" spans="2:93" x14ac:dyDescent="0.25"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Y35" s="18"/>
      <c r="BA35" s="23" t="s">
        <v>75</v>
      </c>
      <c r="BB35" s="23" t="s">
        <v>74</v>
      </c>
      <c r="BC35" s="24" t="s">
        <v>47</v>
      </c>
      <c r="BD35" s="27">
        <v>150</v>
      </c>
      <c r="BE35" s="34" t="s">
        <v>119</v>
      </c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</row>
    <row r="36" spans="2:93" x14ac:dyDescent="0.25"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Y36" s="18"/>
      <c r="BA36" s="23" t="s">
        <v>73</v>
      </c>
      <c r="BB36" s="23" t="s">
        <v>76</v>
      </c>
      <c r="BC36" s="24" t="s">
        <v>99</v>
      </c>
      <c r="BD36" s="27">
        <v>60</v>
      </c>
      <c r="BE36" s="34" t="s">
        <v>129</v>
      </c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</row>
    <row r="37" spans="2:93" x14ac:dyDescent="0.25"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Y37" s="18"/>
      <c r="BA37" s="23" t="s">
        <v>75</v>
      </c>
      <c r="BB37" s="23" t="s">
        <v>79</v>
      </c>
      <c r="BC37" s="24" t="s">
        <v>54</v>
      </c>
      <c r="BD37" s="27">
        <v>125</v>
      </c>
      <c r="BE37" s="34" t="s">
        <v>130</v>
      </c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</row>
    <row r="38" spans="2:93" x14ac:dyDescent="0.25"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Y38" s="18"/>
      <c r="BA38" s="23" t="s">
        <v>75</v>
      </c>
      <c r="BB38" s="23" t="s">
        <v>79</v>
      </c>
      <c r="BC38" s="24" t="s">
        <v>50</v>
      </c>
      <c r="BD38" s="27">
        <v>125</v>
      </c>
      <c r="BE38" s="34" t="s">
        <v>130</v>
      </c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</row>
    <row r="39" spans="2:93" x14ac:dyDescent="0.25"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Y39" s="18"/>
      <c r="BA39" s="23" t="s">
        <v>75</v>
      </c>
      <c r="BB39" s="23" t="s">
        <v>79</v>
      </c>
      <c r="BC39" s="24" t="s">
        <v>110</v>
      </c>
      <c r="BD39" s="27">
        <v>125</v>
      </c>
      <c r="BE39" s="34" t="s">
        <v>131</v>
      </c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</row>
    <row r="40" spans="2:93" x14ac:dyDescent="0.25"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Y40" s="18"/>
      <c r="BA40" s="23" t="s">
        <v>75</v>
      </c>
      <c r="BB40" s="23" t="s">
        <v>76</v>
      </c>
      <c r="BC40" s="24" t="s">
        <v>133</v>
      </c>
      <c r="BD40" s="27">
        <v>125</v>
      </c>
      <c r="BE40" s="34" t="s">
        <v>131</v>
      </c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</row>
    <row r="41" spans="2:93" x14ac:dyDescent="0.25"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Y41" s="18"/>
      <c r="BA41" s="23" t="s">
        <v>73</v>
      </c>
      <c r="BB41" s="23" t="s">
        <v>76</v>
      </c>
      <c r="BC41" s="24" t="s">
        <v>103</v>
      </c>
      <c r="BD41" s="27">
        <v>50</v>
      </c>
      <c r="BE41" s="34" t="s">
        <v>131</v>
      </c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</row>
    <row r="42" spans="2:93" x14ac:dyDescent="0.25"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Y42" s="18"/>
      <c r="BA42" s="23" t="s">
        <v>75</v>
      </c>
      <c r="BB42" s="23" t="s">
        <v>76</v>
      </c>
      <c r="BC42" s="24" t="s">
        <v>18</v>
      </c>
      <c r="BD42" s="27">
        <v>120</v>
      </c>
      <c r="BE42" s="34" t="s">
        <v>134</v>
      </c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</row>
    <row r="43" spans="2:93" x14ac:dyDescent="0.25"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Y43" s="18"/>
      <c r="BA43" s="23" t="s">
        <v>75</v>
      </c>
      <c r="BB43" s="23" t="s">
        <v>76</v>
      </c>
      <c r="BC43" s="24" t="s">
        <v>53</v>
      </c>
      <c r="BD43" s="27">
        <v>115</v>
      </c>
      <c r="BE43" s="34" t="s">
        <v>134</v>
      </c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</row>
    <row r="44" spans="2:93" x14ac:dyDescent="0.25"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Y44" s="18"/>
      <c r="BA44" s="23" t="s">
        <v>75</v>
      </c>
      <c r="BB44" s="23" t="s">
        <v>76</v>
      </c>
      <c r="BC44" s="24" t="s">
        <v>62</v>
      </c>
      <c r="BD44" s="27">
        <v>115</v>
      </c>
      <c r="BE44" s="34" t="s">
        <v>134</v>
      </c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</row>
    <row r="45" spans="2:93" x14ac:dyDescent="0.25"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Y45" s="18"/>
      <c r="BA45" s="23" t="s">
        <v>73</v>
      </c>
      <c r="BB45" s="23" t="s">
        <v>79</v>
      </c>
      <c r="BC45" s="24" t="s">
        <v>16</v>
      </c>
      <c r="BD45" s="27">
        <v>60</v>
      </c>
      <c r="BE45" s="34" t="s">
        <v>135</v>
      </c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</row>
    <row r="46" spans="2:93" x14ac:dyDescent="0.25"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Y46" s="18"/>
      <c r="BA46" s="23" t="s">
        <v>73</v>
      </c>
      <c r="BB46" s="23" t="s">
        <v>76</v>
      </c>
      <c r="BC46" s="24" t="s">
        <v>14</v>
      </c>
      <c r="BD46" s="27">
        <v>55</v>
      </c>
      <c r="BE46" s="34" t="s">
        <v>96</v>
      </c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</row>
    <row r="47" spans="2:93" x14ac:dyDescent="0.25"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Y47" s="18"/>
      <c r="BA47" s="23" t="s">
        <v>73</v>
      </c>
      <c r="BB47" s="23" t="s">
        <v>76</v>
      </c>
      <c r="BC47" s="24" t="s">
        <v>13</v>
      </c>
      <c r="BD47" s="27">
        <v>55</v>
      </c>
      <c r="BE47" s="34" t="s">
        <v>96</v>
      </c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</row>
    <row r="48" spans="2:93" x14ac:dyDescent="0.25"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Y48" s="18"/>
      <c r="BA48" s="23" t="s">
        <v>75</v>
      </c>
      <c r="BB48" s="23" t="s">
        <v>79</v>
      </c>
      <c r="BC48" s="24" t="s">
        <v>106</v>
      </c>
      <c r="BD48" s="27">
        <v>125</v>
      </c>
      <c r="BE48" s="34" t="s">
        <v>136</v>
      </c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</row>
    <row r="49" spans="2:93" x14ac:dyDescent="0.25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Y49" s="18"/>
      <c r="BA49" s="23" t="s">
        <v>75</v>
      </c>
      <c r="BB49" s="23" t="s">
        <v>76</v>
      </c>
      <c r="BC49" s="24" t="s">
        <v>46</v>
      </c>
      <c r="BD49" s="27">
        <v>125</v>
      </c>
      <c r="BE49" s="34" t="s">
        <v>136</v>
      </c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</row>
    <row r="50" spans="2:93" x14ac:dyDescent="0.25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Y50" s="18"/>
      <c r="BA50" s="23" t="s">
        <v>75</v>
      </c>
      <c r="BB50" s="23" t="s">
        <v>79</v>
      </c>
      <c r="BC50" s="24" t="s">
        <v>120</v>
      </c>
      <c r="BD50" s="27">
        <v>120</v>
      </c>
      <c r="BE50" s="34" t="s">
        <v>137</v>
      </c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</row>
    <row r="51" spans="2:93" x14ac:dyDescent="0.25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Y51" s="18"/>
      <c r="BA51" s="23" t="s">
        <v>75</v>
      </c>
      <c r="BB51" s="23" t="s">
        <v>79</v>
      </c>
      <c r="BC51" s="24" t="s">
        <v>12</v>
      </c>
      <c r="BD51" s="27">
        <v>115</v>
      </c>
      <c r="BE51" s="34" t="s">
        <v>137</v>
      </c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</row>
    <row r="52" spans="2:93" x14ac:dyDescent="0.25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Y52" s="18"/>
      <c r="BA52" s="23" t="s">
        <v>75</v>
      </c>
      <c r="BB52" s="23" t="s">
        <v>77</v>
      </c>
      <c r="BC52" s="24" t="s">
        <v>14</v>
      </c>
      <c r="BD52" s="27">
        <v>115</v>
      </c>
      <c r="BE52" s="34" t="s">
        <v>137</v>
      </c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</row>
    <row r="53" spans="2:93" x14ac:dyDescent="0.25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Y53" s="18"/>
      <c r="BA53" s="23" t="s">
        <v>73</v>
      </c>
      <c r="BB53" s="23" t="s">
        <v>74</v>
      </c>
      <c r="BC53" s="24" t="s">
        <v>101</v>
      </c>
      <c r="BD53" s="27">
        <v>60</v>
      </c>
      <c r="BE53" s="34" t="s">
        <v>138</v>
      </c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</row>
    <row r="54" spans="2:93" x14ac:dyDescent="0.25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Y54" s="18"/>
      <c r="BA54" s="23" t="s">
        <v>73</v>
      </c>
      <c r="BB54" s="23" t="s">
        <v>79</v>
      </c>
      <c r="BC54" s="24" t="s">
        <v>126</v>
      </c>
      <c r="BD54" s="27">
        <v>100</v>
      </c>
      <c r="BE54" s="34" t="s">
        <v>139</v>
      </c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</row>
    <row r="55" spans="2:93" x14ac:dyDescent="0.25"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Y55" s="18"/>
      <c r="BA55" s="23" t="s">
        <v>73</v>
      </c>
      <c r="BB55" s="23" t="s">
        <v>77</v>
      </c>
      <c r="BC55" s="24" t="s">
        <v>31</v>
      </c>
      <c r="BD55" s="27">
        <v>50</v>
      </c>
      <c r="BE55" s="34" t="s">
        <v>141</v>
      </c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</row>
    <row r="56" spans="2:93" x14ac:dyDescent="0.25"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Y56" s="18"/>
      <c r="BA56" s="23" t="s">
        <v>73</v>
      </c>
      <c r="BB56" s="23" t="s">
        <v>77</v>
      </c>
      <c r="BC56" s="24" t="s">
        <v>142</v>
      </c>
      <c r="BD56" s="27">
        <v>50</v>
      </c>
      <c r="BE56" s="34" t="s">
        <v>141</v>
      </c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</row>
    <row r="57" spans="2:93" x14ac:dyDescent="0.25"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Y57" s="18"/>
      <c r="BA57" s="23" t="s">
        <v>73</v>
      </c>
      <c r="BB57" s="23" t="s">
        <v>77</v>
      </c>
      <c r="BC57" s="24" t="s">
        <v>14</v>
      </c>
      <c r="BD57" s="27">
        <v>50</v>
      </c>
      <c r="BE57" s="34" t="s">
        <v>141</v>
      </c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</row>
    <row r="58" spans="2:93" x14ac:dyDescent="0.25"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Y58" s="18"/>
      <c r="BA58" s="23"/>
      <c r="BB58" s="23"/>
      <c r="BC58" s="24"/>
      <c r="BD58" s="27"/>
      <c r="BE58" s="34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</row>
    <row r="59" spans="2:93" x14ac:dyDescent="0.25"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Y59" s="18"/>
      <c r="BA59" s="23"/>
      <c r="BB59" s="23"/>
      <c r="BC59" s="24"/>
      <c r="BD59" s="27"/>
      <c r="BE59" s="34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</row>
    <row r="60" spans="2:93" x14ac:dyDescent="0.25"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Y60" s="18"/>
      <c r="BA60" s="23"/>
      <c r="BB60" s="23"/>
      <c r="BC60" s="24"/>
      <c r="BD60" s="27"/>
      <c r="BE60" s="34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</row>
    <row r="61" spans="2:93" x14ac:dyDescent="0.25"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Y61" s="18"/>
      <c r="BA61" s="23"/>
      <c r="BB61" s="23"/>
      <c r="BC61" s="24"/>
      <c r="BD61" s="27"/>
      <c r="BE61" s="34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</row>
    <row r="62" spans="2:93" x14ac:dyDescent="0.25"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Y62" s="18"/>
      <c r="BA62" s="23"/>
      <c r="BB62" s="23"/>
      <c r="BC62" s="24"/>
      <c r="BD62" s="27"/>
      <c r="BE62" s="34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</row>
    <row r="63" spans="2:93" x14ac:dyDescent="0.25"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Y63" s="18"/>
      <c r="BA63" s="23"/>
      <c r="BB63" s="23"/>
      <c r="BC63" s="24"/>
      <c r="BD63" s="27"/>
      <c r="BE63" s="34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</row>
    <row r="64" spans="2:93" x14ac:dyDescent="0.25"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Y64" s="18"/>
      <c r="BA64" s="23"/>
      <c r="BB64" s="23"/>
      <c r="BC64" s="24"/>
      <c r="BD64" s="27"/>
      <c r="BE64" s="34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</row>
    <row r="65" spans="2:93" ht="15.75" thickBot="1" x14ac:dyDescent="0.3"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Y65" s="18"/>
      <c r="BA65" s="23"/>
      <c r="BB65" s="23"/>
      <c r="BC65" s="24"/>
      <c r="BD65" s="28"/>
      <c r="BE65" s="34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</row>
    <row r="66" spans="2:93" x14ac:dyDescent="0.25"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Y66" s="18"/>
      <c r="BC66" s="18"/>
      <c r="BD66" s="25"/>
      <c r="BE66" s="25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</row>
    <row r="67" spans="2:93" x14ac:dyDescent="0.25"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Y67" s="18"/>
      <c r="BC67" s="18"/>
      <c r="BD67" s="25"/>
      <c r="BE67" s="25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</row>
    <row r="68" spans="2:93" x14ac:dyDescent="0.25"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Y68" s="18"/>
      <c r="BC68" s="18"/>
      <c r="BD68" s="25"/>
      <c r="BE68" s="25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</row>
    <row r="69" spans="2:93" x14ac:dyDescent="0.25"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Y69" s="18"/>
      <c r="BC69" s="18"/>
      <c r="BD69" s="25"/>
      <c r="BE69" s="25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</row>
    <row r="70" spans="2:93" x14ac:dyDescent="0.25"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Y70" s="18"/>
      <c r="BC70" s="18"/>
      <c r="BD70" s="25"/>
      <c r="BE70" s="25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</row>
    <row r="71" spans="2:93" x14ac:dyDescent="0.25"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Y71" s="18"/>
      <c r="BC71" s="18"/>
      <c r="BD71" s="25"/>
      <c r="BE71" s="25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</row>
    <row r="72" spans="2:93" x14ac:dyDescent="0.25"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Y72" s="18"/>
      <c r="BC72" s="18"/>
      <c r="BD72" s="25"/>
      <c r="BE72" s="25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</row>
    <row r="73" spans="2:93" x14ac:dyDescent="0.25"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Y73" s="18"/>
      <c r="BC73" s="18"/>
      <c r="BD73" s="25"/>
      <c r="BE73" s="25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</row>
    <row r="74" spans="2:93" x14ac:dyDescent="0.25"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Y74" s="18"/>
      <c r="BC74" s="18"/>
      <c r="BD74" s="25"/>
      <c r="BE74" s="25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</row>
    <row r="75" spans="2:93" x14ac:dyDescent="0.25"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Y75" s="18"/>
      <c r="BC75" s="18"/>
      <c r="BD75" s="25"/>
      <c r="BE75" s="25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</row>
    <row r="76" spans="2:93" x14ac:dyDescent="0.25"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Y76" s="18"/>
      <c r="BC76" s="18"/>
      <c r="BD76" s="25"/>
      <c r="BE76" s="25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</row>
    <row r="77" spans="2:93" x14ac:dyDescent="0.25"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Y77" s="18"/>
      <c r="BC77" s="18"/>
      <c r="BD77" s="25"/>
      <c r="BE77" s="25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</row>
    <row r="78" spans="2:93" x14ac:dyDescent="0.25"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Y78" s="18"/>
      <c r="BC78" s="18"/>
      <c r="BD78" s="25"/>
      <c r="BE78" s="25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</row>
    <row r="79" spans="2:93" x14ac:dyDescent="0.25"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Y79" s="18"/>
      <c r="BC79" s="18"/>
      <c r="BD79" s="25"/>
      <c r="BE79" s="25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</row>
    <row r="80" spans="2:93" x14ac:dyDescent="0.25"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Y80" s="18"/>
      <c r="BC80" s="18"/>
      <c r="BD80" s="25"/>
      <c r="BE80" s="25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</row>
    <row r="81" spans="2:93" x14ac:dyDescent="0.25"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Y81" s="18"/>
      <c r="BC81" s="18"/>
      <c r="BD81" s="25"/>
      <c r="BE81" s="25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</row>
    <row r="82" spans="2:93" x14ac:dyDescent="0.25"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Y82" s="18"/>
      <c r="BC82" s="18"/>
      <c r="BD82" s="25"/>
      <c r="BE82" s="25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</row>
    <row r="83" spans="2:93" x14ac:dyDescent="0.25"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Y83" s="18"/>
      <c r="BC83" s="18"/>
      <c r="BD83" s="25"/>
      <c r="BE83" s="25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</row>
    <row r="84" spans="2:93" x14ac:dyDescent="0.25"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Y84" s="18"/>
      <c r="BC84" s="18"/>
      <c r="BD84" s="25"/>
      <c r="BE84" s="25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</row>
    <row r="85" spans="2:93" x14ac:dyDescent="0.25"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Y85" s="18"/>
      <c r="BC85" s="18"/>
      <c r="BD85" s="25"/>
      <c r="BE85" s="25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</row>
    <row r="86" spans="2:93" x14ac:dyDescent="0.25"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Y86" s="18"/>
      <c r="BC86" s="18"/>
      <c r="BD86" s="25"/>
      <c r="BE86" s="25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</row>
    <row r="87" spans="2:93" x14ac:dyDescent="0.25"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Y87" s="18"/>
      <c r="BC87" s="18"/>
      <c r="BD87" s="25"/>
      <c r="BE87" s="25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</row>
    <row r="88" spans="2:93" x14ac:dyDescent="0.25"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Y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</row>
    <row r="89" spans="2:93" x14ac:dyDescent="0.25">
      <c r="B89" s="18"/>
      <c r="C89" s="18"/>
      <c r="D89" s="18"/>
      <c r="E89" s="18"/>
      <c r="F89" s="18"/>
      <c r="G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Y89" s="18"/>
      <c r="BF89" s="18"/>
    </row>
  </sheetData>
  <mergeCells count="45">
    <mergeCell ref="BD4:BD6"/>
    <mergeCell ref="BG2:BG3"/>
    <mergeCell ref="BG4:BG9"/>
    <mergeCell ref="BA4:BC5"/>
    <mergeCell ref="BA2:BE3"/>
    <mergeCell ref="BE4:BE6"/>
    <mergeCell ref="B2:AW3"/>
    <mergeCell ref="AY2:AY3"/>
    <mergeCell ref="AY4:AY9"/>
    <mergeCell ref="AY11:AY12"/>
    <mergeCell ref="AY13:AY18"/>
    <mergeCell ref="AL7:AM7"/>
    <mergeCell ref="AN7:AO7"/>
    <mergeCell ref="AP7:AQ7"/>
    <mergeCell ref="AR7:AS7"/>
    <mergeCell ref="AT7:AU7"/>
    <mergeCell ref="AV7:AW7"/>
    <mergeCell ref="Z7:AA7"/>
    <mergeCell ref="AB7:AC7"/>
    <mergeCell ref="AD7:AE7"/>
    <mergeCell ref="AF7:AG7"/>
    <mergeCell ref="AH7:AI7"/>
    <mergeCell ref="AJ7:AK7"/>
    <mergeCell ref="B4:Y5"/>
    <mergeCell ref="Z4:AW5"/>
    <mergeCell ref="Z6:AE6"/>
    <mergeCell ref="AF6:AK6"/>
    <mergeCell ref="AL6:AQ6"/>
    <mergeCell ref="AR6:AW6"/>
    <mergeCell ref="N6:S6"/>
    <mergeCell ref="N7:O7"/>
    <mergeCell ref="P7:Q7"/>
    <mergeCell ref="R7:S7"/>
    <mergeCell ref="T6:Y6"/>
    <mergeCell ref="T7:U7"/>
    <mergeCell ref="V7:W7"/>
    <mergeCell ref="X7:Y7"/>
    <mergeCell ref="B7:C7"/>
    <mergeCell ref="D7:E7"/>
    <mergeCell ref="F7:G7"/>
    <mergeCell ref="B6:G6"/>
    <mergeCell ref="H6:M6"/>
    <mergeCell ref="H7:I7"/>
    <mergeCell ref="J7:K7"/>
    <mergeCell ref="L7:M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Henrique Tezza</dc:creator>
  <cp:lastModifiedBy>Luiz Henrique Tezza</cp:lastModifiedBy>
  <dcterms:created xsi:type="dcterms:W3CDTF">2026-01-02T17:33:39Z</dcterms:created>
  <dcterms:modified xsi:type="dcterms:W3CDTF">2026-08-20T20:47:53Z</dcterms:modified>
</cp:coreProperties>
</file>